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cotedu-my.sharepoint.com/personal/s0089553_edu_elcot_in/Documents/Desktop/ASSIGNMENT 1/"/>
    </mc:Choice>
  </mc:AlternateContent>
  <xr:revisionPtr revIDLastSave="73" documentId="8_{8A5D0909-644D-4446-9E6D-5894700F85E5}" xr6:coauthVersionLast="47" xr6:coauthVersionMax="47" xr10:uidLastSave="{A65CCB62-DE9B-4DA1-81E5-BB537051A932}"/>
  <bookViews>
    <workbookView xWindow="-120" yWindow="-120" windowWidth="20730" windowHeight="11760" xr2:uid="{94983899-0168-421B-B078-9F3EBD2E465C}"/>
  </bookViews>
  <sheets>
    <sheet name="Dataset" sheetId="1" r:id="rId1"/>
    <sheet name="Copy_Of_Dataset" sheetId="2" r:id="rId2"/>
    <sheet name="Assign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9" i="3" l="1"/>
  <c r="K37" i="3"/>
  <c r="K36" i="3"/>
  <c r="K18" i="3"/>
  <c r="K17" i="3"/>
  <c r="K10" i="3"/>
  <c r="K8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sharedStrings.xml><?xml version="1.0" encoding="utf-8"?>
<sst xmlns="http://schemas.openxmlformats.org/spreadsheetml/2006/main" count="332" uniqueCount="127">
  <si>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</si>
  <si>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</si>
  <si>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</si>
  <si>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</si>
  <si>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</si>
  <si>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</si>
  <si>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</si>
  <si>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</si>
  <si>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</si>
  <si>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</si>
  <si>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</si>
  <si>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</si>
  <si>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</si>
  <si>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</si>
  <si>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</si>
  <si>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</si>
  <si>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</si>
  <si>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</si>
  <si>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</si>
  <si>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</si>
  <si>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</si>
  <si>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</si>
  <si>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</si>
  <si>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</si>
  <si>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</si>
  <si>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</si>
  <si>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</si>
  <si>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</si>
  <si>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</si>
  <si>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</si>
  <si>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</si>
  <si>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</si>
  <si>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</si>
  <si>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</si>
  <si>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</si>
  <si>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</si>
  <si>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</si>
  <si>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</si>
  <si>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</si>
  <si>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</si>
  <si>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</si>
  <si>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</si>
  <si>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</si>
  <si>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</si>
  <si>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</si>
  <si>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</si>
  <si>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</si>
  <si>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</si>
  <si>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</si>
  <si>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</si>
  <si>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</si>
  <si>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</si>
  <si>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</si>
  <si>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</si>
  <si>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</si>
  <si>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</si>
  <si>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</si>
  <si>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</si>
  <si>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</si>
  <si>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</si>
  <si>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</si>
  <si>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</si>
  <si>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</si>
  <si>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</si>
  <si>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</si>
  <si>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</si>
  <si>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</si>
  <si>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</si>
  <si>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</si>
  <si>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</si>
  <si>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</si>
  <si>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</si>
  <si>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</si>
  <si>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</si>
  <si>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</si>
  <si>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</si>
  <si>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</si>
  <si>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</si>
  <si>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</si>
  <si>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</si>
  <si>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</si>
  <si>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</si>
  <si>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</si>
  <si>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</si>
  <si>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</si>
  <si>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</si>
  <si>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</si>
  <si>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</si>
  <si>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</si>
  <si>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</si>
  <si>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</si>
  <si>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</si>
  <si>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</si>
  <si>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</si>
  <si>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 xml:space="preserve">Day </t>
  </si>
  <si>
    <t>Country Code</t>
  </si>
  <si>
    <t>Month</t>
  </si>
  <si>
    <t>Basic Data Exploration</t>
  </si>
  <si>
    <t>1. Sum, Count, and Average</t>
  </si>
  <si>
    <t>Perform the following calculations using Excel functions:</t>
  </si>
  <si>
    <t>SI.NO</t>
  </si>
  <si>
    <t>Question</t>
  </si>
  <si>
    <t>Solution</t>
  </si>
  <si>
    <t>Calculate the total price of all products in the dataset</t>
  </si>
  <si>
    <t>Determine how many products exist in the dataset</t>
  </si>
  <si>
    <t>Calculate the average price of the products</t>
  </si>
  <si>
    <t>2. Minimum and Maximum Values</t>
  </si>
  <si>
    <t>Using Excel functions:</t>
  </si>
  <si>
    <t>Identify the minimum price among all products</t>
  </si>
  <si>
    <t>Identify the maximum price among all products</t>
  </si>
  <si>
    <t>3. Logical Function – IF</t>
  </si>
  <si>
    <t>Create a new column named Price Range.</t>
  </si>
  <si>
    <t>Use the IF function to categorize products based on their price:</t>
  </si>
  <si>
    <t>If Price ≥ $500 → classify as High Price</t>
  </si>
  <si>
    <t>If Price &lt; $500 → classify as Standard Price</t>
  </si>
  <si>
    <t>4. Conditional Functions – SUMIF and COUNTIF</t>
  </si>
  <si>
    <t>Perform the following conditional calculations:</t>
  </si>
  <si>
    <t>Use the SUMIF function to calculate the total price of products in the Electronics category.</t>
  </si>
  <si>
    <t>Use the COUNTIF function to determine the number of products with a price less than $100.</t>
  </si>
  <si>
    <t>5. Text Formatting – LEFT, RIGHT, MID</t>
  </si>
  <si>
    <t>Use text functions to extract information from the Product ID column</t>
  </si>
  <si>
    <t>Create the following new columns:</t>
  </si>
  <si>
    <t>Create a new column named Day with the first 2 characters of each 'Product ID' using the LEFT function.</t>
  </si>
  <si>
    <t>Create a new column named Country Code by extracting the last 2 characters from the 'Product ID' column using the RIGHT function.</t>
  </si>
  <si>
    <t>Create a new column named Month by extracting the 4th to 6th characters from the 'Product ID' column using the MID function.</t>
  </si>
  <si>
    <t>Refer Copy_Of_Dataset Sheet</t>
  </si>
  <si>
    <t>Refer Copy_Of_Dataset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</si>
</sst>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theme="1"/>
      <name val="Arial"/>
    </font>
    <font>
      <sz val="10"/>
      <color theme="1"/>
      <name val="Arial"/>
    </font>
    <font>
      <sz val="18"/>
      <color theme="8" tint="-0.249977111117893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b/>
      <sz val="22"/>
      <color rgb="FF000000"/>
      <name val="Aptos Narrow"/>
      <family val="2"/>
      <scheme val="minor"/>
    </font>
    <font>
      <b/>
      <sz val="10"/>
      <color theme="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8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/>
    <xf numFmtId="0" fontId="3" fillId="3" borderId="0" xfId="1" applyFont="1" applyFill="1"/>
    <xf numFmtId="0" fontId="3" fillId="4" borderId="0" xfId="1" applyFont="1" applyFill="1"/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Font="1"/>
    <xf numFmtId="0" fontId="8" fillId="0" borderId="0" xfId="0" applyFont="1"/>
    <xf numFmtId="0" fontId="8" fillId="3" borderId="0" xfId="0" applyFont="1" applyFill="1"/>
    <xf numFmtId="0" fontId="8" fillId="4" borderId="0" xfId="0" applyFont="1" applyFill="1"/>
    <xf numFmtId="0" fontId="9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0" fillId="0" borderId="7" xfId="0" applyBorder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0" fillId="0" borderId="13" xfId="0" applyBorder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/>
    <xf numFmtId="0" fontId="7" fillId="0" borderId="8" xfId="0" applyFont="1" applyBorder="1" applyAlignment="1">
      <alignment wrapText="1"/>
    </xf>
    <xf numFmtId="0" fontId="0" fillId="0" borderId="14" xfId="0" applyBorder="1"/>
    <xf numFmtId="0" fontId="7" fillId="0" borderId="15" xfId="0" applyFont="1" applyBorder="1" applyAlignment="1">
      <alignment horizontal="left"/>
    </xf>
    <xf numFmtId="0" fontId="9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7" fillId="7" borderId="4" xfId="0" applyFont="1" applyFill="1" applyBorder="1"/>
    <xf numFmtId="0" fontId="7" fillId="7" borderId="5" xfId="0" applyFont="1" applyFill="1" applyBorder="1" applyAlignment="1">
      <alignment horizontal="center"/>
    </xf>
    <xf numFmtId="0" fontId="7" fillId="7" borderId="6" xfId="0" applyFont="1" applyFill="1" applyBorder="1"/>
    <xf numFmtId="0" fontId="7" fillId="7" borderId="0" xfId="0" applyFont="1" applyFill="1"/>
    <xf numFmtId="0" fontId="6" fillId="7" borderId="0" xfId="0" applyFont="1" applyFill="1"/>
    <xf numFmtId="0" fontId="10" fillId="8" borderId="0" xfId="0" applyFont="1" applyFill="1"/>
  </cellXfs>
  <cellStyles count="2">
    <cellStyle name="Normal" xfId="0" builtinId="0"/>
    <cellStyle name="Normal 2" xfId="1" xr:uid="{81E8CF3E-892C-45BE-AB9C-845CEB39FB6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B189F9-E539-40F4-9DAE-C7B541CB50FB}" name="Sales_DB" displayName="Sales_DB" ref="A1:J35" totalsRowShown="0" headerRowDxfId="4" dataDxfId="5" headerRowCellStyle="Normal 2" dataCellStyle="Normal 2">
  <autoFilter ref="A1:J35" xr:uid="{4DB189F9-E539-40F4-9DAE-C7B541CB50FB}"/>
  <tableColumns count="10">
    <tableColumn id="1" xr3:uid="{4A2C3CB9-413A-4BE1-98D1-55AB0C324305}" name="Product ID" dataDxfId="11" dataCellStyle="Normal 2"/>
    <tableColumn id="2" xr3:uid="{479A76CD-C8B4-4DD1-9909-6740EAFC87AA}" name="Product Name" dataDxfId="10" dataCellStyle="Normal 2"/>
    <tableColumn id="3" xr3:uid="{F047663C-086A-4475-9ABF-D7AEF5FED087}" name="Brand Name" dataDxfId="9" dataCellStyle="Normal 2"/>
    <tableColumn id="4" xr3:uid="{C2438DBE-762E-422D-A1A8-4C1798C76F16}" name="Price ($)" dataDxfId="8" dataCellStyle="Normal 2"/>
    <tableColumn id="5" xr3:uid="{956A9310-AB0E-421E-AA4F-BA21ACD9F33B}" name="Quantity" dataDxfId="7" dataCellStyle="Normal 2"/>
    <tableColumn id="6" xr3:uid="{CCAED508-1F95-4F5E-B505-9ADD04684EDC}" name="Category" dataDxfId="6" dataCellStyle="Normal 2"/>
    <tableColumn id="7" xr3:uid="{485D7F53-FE78-45F8-8602-D1DA27858753}" name="Price Range" dataDxfId="3" dataCellStyle="Normal 2">
      <calculatedColumnFormula>IF(Sales_DB[[#This Row],[Price ($)]]&gt;=500,"High Price", "Standard Price")</calculatedColumnFormula>
    </tableColumn>
    <tableColumn id="8" xr3:uid="{98F1FB0B-3BA6-4B6E-B96F-0FFE65D33551}" name="Day " dataDxfId="2" dataCellStyle="Normal 2">
      <calculatedColumnFormula>LEFT(Sales_DB[[#This Row],[Product ID]],2)</calculatedColumnFormula>
    </tableColumn>
    <tableColumn id="9" xr3:uid="{B09FF1EE-8311-4A3A-A9E3-9DECC592A820}" name="Country Code" dataDxfId="1" dataCellStyle="Normal 2">
      <calculatedColumnFormula>RIGHT(Sales_DB[[#This Row],[Product ID]],2)</calculatedColumnFormula>
    </tableColumn>
    <tableColumn id="10" xr3:uid="{FE70B368-88B8-4CF7-8343-76C7466055AE}" name="Month" dataDxfId="0" dataCellStyle="Normal 2">
      <calculatedColumnFormula>MID(Sales_DB[[#This Row],[Product ID]],4,3)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6421-1315-424B-9AD1-E78563BA277C}">
  <dimension ref="A1:G1000"/>
  <sheetViews>
    <sheetView tabSelected="1" workbookViewId="0">
      <selection activeCell="F14" sqref="F14"/>
    </sheetView>
  </sheetViews>
  <sheetFormatPr defaultColWidth="12.5703125" defaultRowHeight="15" x14ac:dyDescent="0.25"/>
  <cols>
    <col min="1" max="1" width="12.5703125" style="9"/>
    <col min="2" max="2" width="14.140625" style="9" customWidth="1"/>
    <col min="3" max="16384" width="12.5703125" style="9"/>
  </cols>
  <sheetData>
    <row r="1" spans="1:7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/>
    </row>
    <row r="2" spans="1:7" ht="15.75" customHeight="1" x14ac:dyDescent="0.25">
      <c r="A2" s="10" t="s">
        <v>6</v>
      </c>
      <c r="B2" s="10" t="s">
        <v>7</v>
      </c>
      <c r="C2" s="10" t="s">
        <v>8</v>
      </c>
      <c r="D2" s="10">
        <v>1000</v>
      </c>
      <c r="E2" s="10">
        <v>30</v>
      </c>
      <c r="F2" s="10" t="s">
        <v>9</v>
      </c>
      <c r="G2" s="10"/>
    </row>
    <row r="3" spans="1:7" ht="15.75" customHeight="1" x14ac:dyDescent="0.25">
      <c r="A3" s="11" t="s">
        <v>10</v>
      </c>
      <c r="B3" s="11" t="s">
        <v>11</v>
      </c>
      <c r="C3" s="11" t="s">
        <v>12</v>
      </c>
      <c r="D3" s="11">
        <v>80</v>
      </c>
      <c r="E3" s="11">
        <v>15</v>
      </c>
      <c r="F3" s="11" t="s">
        <v>13</v>
      </c>
      <c r="G3" s="10"/>
    </row>
    <row r="4" spans="1:7" ht="15.75" customHeight="1" x14ac:dyDescent="0.25">
      <c r="A4" s="10" t="s">
        <v>14</v>
      </c>
      <c r="B4" s="10" t="s">
        <v>15</v>
      </c>
      <c r="C4" s="10" t="s">
        <v>16</v>
      </c>
      <c r="D4" s="10">
        <v>130</v>
      </c>
      <c r="E4" s="10">
        <v>40</v>
      </c>
      <c r="F4" s="10" t="s">
        <v>17</v>
      </c>
      <c r="G4" s="10"/>
    </row>
    <row r="5" spans="1:7" ht="15.75" customHeight="1" x14ac:dyDescent="0.25">
      <c r="A5" s="11" t="s">
        <v>18</v>
      </c>
      <c r="B5" s="11" t="s">
        <v>19</v>
      </c>
      <c r="C5" s="11" t="s">
        <v>20</v>
      </c>
      <c r="D5" s="11">
        <v>900</v>
      </c>
      <c r="E5" s="11">
        <v>25</v>
      </c>
      <c r="F5" s="11" t="s">
        <v>9</v>
      </c>
      <c r="G5" s="10"/>
    </row>
    <row r="6" spans="1:7" ht="15.75" customHeight="1" x14ac:dyDescent="0.25">
      <c r="A6" s="10" t="s">
        <v>21</v>
      </c>
      <c r="B6" s="10" t="s">
        <v>22</v>
      </c>
      <c r="C6" s="10" t="s">
        <v>23</v>
      </c>
      <c r="D6" s="10">
        <v>70</v>
      </c>
      <c r="E6" s="10">
        <v>20</v>
      </c>
      <c r="F6" s="10" t="s">
        <v>24</v>
      </c>
      <c r="G6" s="10"/>
    </row>
    <row r="7" spans="1:7" ht="15.75" customHeight="1" x14ac:dyDescent="0.25">
      <c r="A7" s="11" t="s">
        <v>25</v>
      </c>
      <c r="B7" s="11" t="s">
        <v>26</v>
      </c>
      <c r="C7" s="11" t="s">
        <v>27</v>
      </c>
      <c r="D7" s="11">
        <v>200</v>
      </c>
      <c r="E7" s="11">
        <v>45</v>
      </c>
      <c r="F7" s="11" t="s">
        <v>9</v>
      </c>
      <c r="G7" s="10"/>
    </row>
    <row r="8" spans="1:7" ht="15.75" customHeight="1" x14ac:dyDescent="0.25">
      <c r="A8" s="10" t="s">
        <v>28</v>
      </c>
      <c r="B8" s="10" t="s">
        <v>29</v>
      </c>
      <c r="C8" s="10" t="s">
        <v>30</v>
      </c>
      <c r="D8" s="10">
        <v>30</v>
      </c>
      <c r="E8" s="10">
        <v>5</v>
      </c>
      <c r="F8" s="10" t="s">
        <v>13</v>
      </c>
      <c r="G8" s="10"/>
    </row>
    <row r="9" spans="1:7" ht="15.75" customHeight="1" x14ac:dyDescent="0.25">
      <c r="A9" s="11" t="s">
        <v>31</v>
      </c>
      <c r="B9" s="11" t="s">
        <v>32</v>
      </c>
      <c r="C9" s="11" t="s">
        <v>33</v>
      </c>
      <c r="D9" s="11">
        <v>90</v>
      </c>
      <c r="E9" s="11">
        <v>35</v>
      </c>
      <c r="F9" s="11" t="s">
        <v>17</v>
      </c>
      <c r="G9" s="10"/>
    </row>
    <row r="10" spans="1:7" ht="15.75" customHeight="1" x14ac:dyDescent="0.25">
      <c r="A10" s="10" t="s">
        <v>34</v>
      </c>
      <c r="B10" s="10" t="s">
        <v>35</v>
      </c>
      <c r="C10" s="10" t="s">
        <v>36</v>
      </c>
      <c r="D10" s="10">
        <v>500</v>
      </c>
      <c r="E10" s="10">
        <v>50</v>
      </c>
      <c r="F10" s="10" t="s">
        <v>9</v>
      </c>
      <c r="G10" s="10"/>
    </row>
    <row r="11" spans="1:7" ht="15.75" customHeight="1" x14ac:dyDescent="0.25">
      <c r="A11" s="11" t="s">
        <v>37</v>
      </c>
      <c r="B11" s="11" t="s">
        <v>38</v>
      </c>
      <c r="C11" s="11" t="s">
        <v>39</v>
      </c>
      <c r="D11" s="11">
        <v>130</v>
      </c>
      <c r="E11" s="11">
        <v>10</v>
      </c>
      <c r="F11" s="11" t="s">
        <v>24</v>
      </c>
      <c r="G11" s="10"/>
    </row>
    <row r="12" spans="1:7" ht="15.75" customHeight="1" x14ac:dyDescent="0.25">
      <c r="A12" s="10" t="s">
        <v>40</v>
      </c>
      <c r="B12" s="10" t="s">
        <v>7</v>
      </c>
      <c r="C12" s="10" t="s">
        <v>41</v>
      </c>
      <c r="D12" s="10">
        <v>950</v>
      </c>
      <c r="E12" s="10">
        <v>25</v>
      </c>
      <c r="F12" s="10" t="s">
        <v>9</v>
      </c>
      <c r="G12" s="10"/>
    </row>
    <row r="13" spans="1:7" ht="15.75" customHeight="1" x14ac:dyDescent="0.25">
      <c r="A13" s="11" t="s">
        <v>42</v>
      </c>
      <c r="B13" s="11" t="s">
        <v>11</v>
      </c>
      <c r="C13" s="11" t="s">
        <v>30</v>
      </c>
      <c r="D13" s="11">
        <v>90</v>
      </c>
      <c r="E13" s="11">
        <v>40</v>
      </c>
      <c r="F13" s="11" t="s">
        <v>13</v>
      </c>
      <c r="G13" s="10"/>
    </row>
    <row r="14" spans="1:7" ht="15.75" customHeight="1" x14ac:dyDescent="0.25">
      <c r="A14" s="10" t="s">
        <v>43</v>
      </c>
      <c r="B14" s="10" t="s">
        <v>15</v>
      </c>
      <c r="C14" s="10" t="s">
        <v>44</v>
      </c>
      <c r="D14" s="10">
        <v>120</v>
      </c>
      <c r="E14" s="10">
        <v>35</v>
      </c>
      <c r="F14" s="10" t="s">
        <v>17</v>
      </c>
      <c r="G14" s="10"/>
    </row>
    <row r="15" spans="1:7" ht="15.75" customHeight="1" x14ac:dyDescent="0.25">
      <c r="A15" s="11" t="s">
        <v>45</v>
      </c>
      <c r="B15" s="11" t="s">
        <v>46</v>
      </c>
      <c r="C15" s="11" t="s">
        <v>47</v>
      </c>
      <c r="D15" s="11">
        <v>150</v>
      </c>
      <c r="E15" s="11">
        <v>15</v>
      </c>
      <c r="F15" s="11" t="s">
        <v>9</v>
      </c>
      <c r="G15" s="10"/>
    </row>
    <row r="16" spans="1:7" ht="15.75" customHeight="1" x14ac:dyDescent="0.25">
      <c r="A16" s="10" t="s">
        <v>48</v>
      </c>
      <c r="B16" s="10" t="s">
        <v>26</v>
      </c>
      <c r="C16" s="10" t="s">
        <v>49</v>
      </c>
      <c r="D16" s="10">
        <v>250</v>
      </c>
      <c r="E16" s="10">
        <v>20</v>
      </c>
      <c r="F16" s="10" t="s">
        <v>9</v>
      </c>
      <c r="G16" s="10"/>
    </row>
    <row r="17" spans="1:7" ht="15.75" customHeight="1" x14ac:dyDescent="0.25">
      <c r="A17" s="11" t="s">
        <v>50</v>
      </c>
      <c r="B17" s="11" t="s">
        <v>51</v>
      </c>
      <c r="C17" s="11" t="s">
        <v>52</v>
      </c>
      <c r="D17" s="11">
        <v>50</v>
      </c>
      <c r="E17" s="11">
        <v>35</v>
      </c>
      <c r="F17" s="11" t="s">
        <v>53</v>
      </c>
      <c r="G17" s="10"/>
    </row>
    <row r="18" spans="1:7" ht="15.75" customHeight="1" x14ac:dyDescent="0.25">
      <c r="A18" s="10" t="s">
        <v>54</v>
      </c>
      <c r="B18" s="10" t="s">
        <v>46</v>
      </c>
      <c r="C18" s="10" t="s">
        <v>55</v>
      </c>
      <c r="D18" s="10">
        <v>160</v>
      </c>
      <c r="E18" s="10">
        <v>15</v>
      </c>
      <c r="F18" s="10" t="s">
        <v>9</v>
      </c>
      <c r="G18" s="10"/>
    </row>
    <row r="19" spans="1:7" ht="15.75" customHeight="1" x14ac:dyDescent="0.25">
      <c r="A19" s="11" t="s">
        <v>56</v>
      </c>
      <c r="B19" s="11" t="s">
        <v>7</v>
      </c>
      <c r="C19" s="11" t="s">
        <v>57</v>
      </c>
      <c r="D19" s="11">
        <v>980</v>
      </c>
      <c r="E19" s="11">
        <v>10</v>
      </c>
      <c r="F19" s="11" t="s">
        <v>9</v>
      </c>
      <c r="G19" s="10"/>
    </row>
    <row r="20" spans="1:7" ht="15.75" customHeight="1" x14ac:dyDescent="0.25">
      <c r="A20" s="10" t="s">
        <v>58</v>
      </c>
      <c r="B20" s="10" t="s">
        <v>59</v>
      </c>
      <c r="C20" s="10" t="s">
        <v>60</v>
      </c>
      <c r="D20" s="10">
        <v>150</v>
      </c>
      <c r="E20" s="10">
        <v>15</v>
      </c>
      <c r="F20" s="10" t="s">
        <v>13</v>
      </c>
      <c r="G20" s="10"/>
    </row>
    <row r="21" spans="1:7" ht="15.75" customHeight="1" x14ac:dyDescent="0.25">
      <c r="A21" s="11" t="s">
        <v>61</v>
      </c>
      <c r="B21" s="11" t="s">
        <v>62</v>
      </c>
      <c r="C21" s="11" t="s">
        <v>63</v>
      </c>
      <c r="D21" s="11">
        <v>200</v>
      </c>
      <c r="E21" s="11">
        <v>10</v>
      </c>
      <c r="F21" s="11" t="s">
        <v>24</v>
      </c>
      <c r="G21" s="10"/>
    </row>
    <row r="22" spans="1:7" ht="15.75" customHeight="1" x14ac:dyDescent="0.25">
      <c r="A22" s="10" t="s">
        <v>64</v>
      </c>
      <c r="B22" s="10" t="s">
        <v>65</v>
      </c>
      <c r="C22" s="10" t="s">
        <v>66</v>
      </c>
      <c r="D22" s="10">
        <v>700</v>
      </c>
      <c r="E22" s="10">
        <v>50</v>
      </c>
      <c r="F22" s="10" t="s">
        <v>9</v>
      </c>
      <c r="G22" s="10"/>
    </row>
    <row r="23" spans="1:7" ht="15.75" customHeight="1" x14ac:dyDescent="0.25">
      <c r="A23" s="11" t="s">
        <v>67</v>
      </c>
      <c r="B23" s="11" t="s">
        <v>68</v>
      </c>
      <c r="C23" s="11" t="s">
        <v>69</v>
      </c>
      <c r="D23" s="11">
        <v>80</v>
      </c>
      <c r="E23" s="11">
        <v>20</v>
      </c>
      <c r="F23" s="11" t="s">
        <v>17</v>
      </c>
      <c r="G23" s="10"/>
    </row>
    <row r="24" spans="1:7" ht="15.75" customHeight="1" x14ac:dyDescent="0.25">
      <c r="A24" s="10" t="s">
        <v>70</v>
      </c>
      <c r="B24" s="10" t="s">
        <v>71</v>
      </c>
      <c r="C24" s="10" t="s">
        <v>72</v>
      </c>
      <c r="D24" s="10">
        <v>150</v>
      </c>
      <c r="E24" s="10">
        <v>30</v>
      </c>
      <c r="F24" s="10" t="s">
        <v>9</v>
      </c>
      <c r="G24" s="10"/>
    </row>
    <row r="25" spans="1:7" ht="15.75" customHeight="1" x14ac:dyDescent="0.25">
      <c r="A25" s="11" t="s">
        <v>50</v>
      </c>
      <c r="B25" s="11" t="s">
        <v>51</v>
      </c>
      <c r="C25" s="11" t="s">
        <v>52</v>
      </c>
      <c r="D25" s="11">
        <v>50</v>
      </c>
      <c r="E25" s="11">
        <v>35</v>
      </c>
      <c r="F25" s="11" t="s">
        <v>53</v>
      </c>
      <c r="G25" s="12"/>
    </row>
    <row r="26" spans="1:7" ht="15.75" customHeight="1" x14ac:dyDescent="0.25">
      <c r="A26" s="10" t="s">
        <v>73</v>
      </c>
      <c r="B26" s="10" t="s">
        <v>19</v>
      </c>
      <c r="C26" s="10" t="s">
        <v>74</v>
      </c>
      <c r="D26" s="10">
        <v>800</v>
      </c>
      <c r="E26" s="10">
        <v>45</v>
      </c>
      <c r="F26" s="10" t="s">
        <v>9</v>
      </c>
      <c r="G26" s="10"/>
    </row>
    <row r="27" spans="1:7" ht="15.75" customHeight="1" x14ac:dyDescent="0.25">
      <c r="A27" s="11" t="s">
        <v>75</v>
      </c>
      <c r="B27" s="11" t="s">
        <v>59</v>
      </c>
      <c r="C27" s="11" t="s">
        <v>76</v>
      </c>
      <c r="D27" s="11">
        <v>130</v>
      </c>
      <c r="E27" s="11">
        <v>25</v>
      </c>
      <c r="F27" s="11" t="s">
        <v>13</v>
      </c>
      <c r="G27" s="10"/>
    </row>
    <row r="28" spans="1:7" ht="15.75" customHeight="1" x14ac:dyDescent="0.25">
      <c r="A28" s="10" t="s">
        <v>77</v>
      </c>
      <c r="B28" s="10" t="s">
        <v>32</v>
      </c>
      <c r="C28" s="10" t="s">
        <v>78</v>
      </c>
      <c r="D28" s="10">
        <v>400</v>
      </c>
      <c r="E28" s="10">
        <v>40</v>
      </c>
      <c r="F28" s="10" t="s">
        <v>17</v>
      </c>
      <c r="G28" s="10"/>
    </row>
    <row r="29" spans="1:7" ht="15.75" customHeight="1" x14ac:dyDescent="0.25">
      <c r="A29" s="11" t="s">
        <v>48</v>
      </c>
      <c r="B29" s="11" t="s">
        <v>26</v>
      </c>
      <c r="C29" s="11" t="s">
        <v>49</v>
      </c>
      <c r="D29" s="11">
        <v>230</v>
      </c>
      <c r="E29" s="11">
        <v>20</v>
      </c>
      <c r="F29" s="11" t="s">
        <v>9</v>
      </c>
      <c r="G29" s="12"/>
    </row>
    <row r="30" spans="1:7" ht="15.75" customHeight="1" x14ac:dyDescent="0.25">
      <c r="A30" s="10" t="s">
        <v>79</v>
      </c>
      <c r="B30" s="10" t="s">
        <v>80</v>
      </c>
      <c r="C30" s="10" t="s">
        <v>81</v>
      </c>
      <c r="D30" s="10">
        <v>60</v>
      </c>
      <c r="E30" s="10">
        <v>30</v>
      </c>
      <c r="F30" s="10" t="s">
        <v>13</v>
      </c>
      <c r="G30" s="10"/>
    </row>
    <row r="31" spans="1:7" ht="15.75" customHeight="1" x14ac:dyDescent="0.25">
      <c r="A31" s="11" t="s">
        <v>82</v>
      </c>
      <c r="B31" s="11" t="s">
        <v>83</v>
      </c>
      <c r="C31" s="11" t="s">
        <v>84</v>
      </c>
      <c r="D31" s="11">
        <v>40</v>
      </c>
      <c r="E31" s="11">
        <v>10</v>
      </c>
      <c r="F31" s="11" t="s">
        <v>17</v>
      </c>
      <c r="G31" s="10"/>
    </row>
    <row r="32" spans="1:7" ht="15.75" customHeight="1" x14ac:dyDescent="0.25">
      <c r="A32" s="10" t="s">
        <v>85</v>
      </c>
      <c r="B32" s="10" t="s">
        <v>71</v>
      </c>
      <c r="C32" s="10" t="s">
        <v>86</v>
      </c>
      <c r="D32" s="10">
        <v>130</v>
      </c>
      <c r="E32" s="10">
        <v>5</v>
      </c>
      <c r="F32" s="10" t="s">
        <v>9</v>
      </c>
      <c r="G32" s="10"/>
    </row>
    <row r="33" spans="1:7" ht="15.75" customHeight="1" x14ac:dyDescent="0.25">
      <c r="A33" s="11" t="s">
        <v>87</v>
      </c>
      <c r="B33" s="11" t="s">
        <v>88</v>
      </c>
      <c r="C33" s="11" t="s">
        <v>89</v>
      </c>
      <c r="D33" s="11">
        <v>50</v>
      </c>
      <c r="E33" s="11">
        <v>50</v>
      </c>
      <c r="F33" s="11" t="s">
        <v>13</v>
      </c>
      <c r="G33" s="10"/>
    </row>
    <row r="34" spans="1:7" ht="15.75" customHeight="1" x14ac:dyDescent="0.25">
      <c r="A34" s="10" t="s">
        <v>40</v>
      </c>
      <c r="B34" s="10" t="s">
        <v>7</v>
      </c>
      <c r="C34" s="10" t="s">
        <v>41</v>
      </c>
      <c r="D34" s="10">
        <v>950</v>
      </c>
      <c r="E34" s="10">
        <v>25</v>
      </c>
      <c r="F34" s="10" t="s">
        <v>9</v>
      </c>
      <c r="G34" s="10"/>
    </row>
    <row r="35" spans="1:7" ht="15.75" customHeight="1" x14ac:dyDescent="0.25">
      <c r="A35" s="11" t="s">
        <v>90</v>
      </c>
      <c r="B35" s="11" t="s">
        <v>91</v>
      </c>
      <c r="C35" s="11" t="s">
        <v>92</v>
      </c>
      <c r="D35" s="11">
        <v>100</v>
      </c>
      <c r="E35" s="11">
        <v>20</v>
      </c>
      <c r="F35" s="11" t="s">
        <v>53</v>
      </c>
      <c r="G35" s="10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s="9" customFormat="1" ht="15.75" customHeight="1" x14ac:dyDescent="0.25"/>
    <row r="50" s="9" customFormat="1" ht="15.75" customHeight="1" x14ac:dyDescent="0.25"/>
    <row r="51" s="9" customFormat="1" ht="15.75" customHeight="1" x14ac:dyDescent="0.25"/>
    <row r="52" s="9" customFormat="1" ht="15.75" customHeight="1" x14ac:dyDescent="0.25"/>
    <row r="53" s="9" customFormat="1" ht="15.75" customHeight="1" x14ac:dyDescent="0.25"/>
    <row r="54" s="9" customFormat="1" ht="15.75" customHeight="1" x14ac:dyDescent="0.25"/>
    <row r="55" s="9" customFormat="1" ht="15.75" customHeight="1" x14ac:dyDescent="0.25"/>
    <row r="56" s="9" customFormat="1" ht="15.75" customHeight="1" x14ac:dyDescent="0.25"/>
    <row r="57" s="9" customFormat="1" ht="15.75" customHeight="1" x14ac:dyDescent="0.25"/>
    <row r="58" s="9" customFormat="1" ht="15.75" customHeight="1" x14ac:dyDescent="0.25"/>
    <row r="59" s="9" customFormat="1" ht="15.75" customHeight="1" x14ac:dyDescent="0.25"/>
    <row r="60" s="9" customFormat="1" ht="15.75" customHeight="1" x14ac:dyDescent="0.25"/>
    <row r="61" s="9" customFormat="1" ht="15.75" customHeight="1" x14ac:dyDescent="0.25"/>
    <row r="62" s="9" customFormat="1" ht="15.75" customHeight="1" x14ac:dyDescent="0.25"/>
    <row r="63" s="9" customFormat="1" ht="15.75" customHeight="1" x14ac:dyDescent="0.25"/>
    <row r="64" s="9" customFormat="1" ht="15.75" customHeight="1" x14ac:dyDescent="0.25"/>
    <row r="65" s="9" customFormat="1" ht="15.75" customHeight="1" x14ac:dyDescent="0.25"/>
    <row r="66" s="9" customFormat="1" ht="15.75" customHeight="1" x14ac:dyDescent="0.25"/>
    <row r="67" s="9" customFormat="1" ht="15.75" customHeight="1" x14ac:dyDescent="0.25"/>
    <row r="68" s="9" customFormat="1" ht="15.75" customHeight="1" x14ac:dyDescent="0.25"/>
    <row r="69" s="9" customFormat="1" ht="15.75" customHeight="1" x14ac:dyDescent="0.25"/>
    <row r="70" s="9" customFormat="1" ht="15.75" customHeight="1" x14ac:dyDescent="0.25"/>
    <row r="71" s="9" customFormat="1" ht="15.75" customHeight="1" x14ac:dyDescent="0.25"/>
    <row r="72" s="9" customFormat="1" ht="15.75" customHeight="1" x14ac:dyDescent="0.25"/>
    <row r="73" s="9" customFormat="1" ht="15.75" customHeight="1" x14ac:dyDescent="0.25"/>
    <row r="74" s="9" customFormat="1" ht="15.75" customHeight="1" x14ac:dyDescent="0.25"/>
    <row r="75" s="9" customFormat="1" ht="15.75" customHeight="1" x14ac:dyDescent="0.25"/>
    <row r="76" s="9" customFormat="1" ht="15.75" customHeight="1" x14ac:dyDescent="0.25"/>
    <row r="77" s="9" customFormat="1" ht="15.75" customHeight="1" x14ac:dyDescent="0.25"/>
    <row r="78" s="9" customFormat="1" ht="15.75" customHeight="1" x14ac:dyDescent="0.25"/>
    <row r="79" s="9" customFormat="1" ht="15.75" customHeight="1" x14ac:dyDescent="0.25"/>
    <row r="80" s="9" customFormat="1" ht="15.75" customHeight="1" x14ac:dyDescent="0.25"/>
    <row r="81" s="9" customFormat="1" ht="15.75" customHeight="1" x14ac:dyDescent="0.25"/>
    <row r="82" s="9" customFormat="1" ht="15.75" customHeight="1" x14ac:dyDescent="0.25"/>
    <row r="83" s="9" customFormat="1" ht="15.75" customHeight="1" x14ac:dyDescent="0.25"/>
    <row r="84" s="9" customFormat="1" ht="15.75" customHeight="1" x14ac:dyDescent="0.25"/>
    <row r="85" s="9" customFormat="1" ht="15.75" customHeight="1" x14ac:dyDescent="0.25"/>
    <row r="86" s="9" customFormat="1" ht="15.75" customHeight="1" x14ac:dyDescent="0.25"/>
    <row r="87" s="9" customFormat="1" ht="15.75" customHeight="1" x14ac:dyDescent="0.25"/>
    <row r="88" s="9" customFormat="1" ht="15.75" customHeight="1" x14ac:dyDescent="0.25"/>
    <row r="89" s="9" customFormat="1" ht="15.75" customHeight="1" x14ac:dyDescent="0.25"/>
    <row r="90" s="9" customFormat="1" ht="15.75" customHeight="1" x14ac:dyDescent="0.25"/>
    <row r="91" s="9" customFormat="1" ht="15.75" customHeight="1" x14ac:dyDescent="0.25"/>
    <row r="92" s="9" customFormat="1" ht="15.75" customHeight="1" x14ac:dyDescent="0.25"/>
    <row r="93" s="9" customFormat="1" ht="15.75" customHeight="1" x14ac:dyDescent="0.25"/>
    <row r="94" s="9" customFormat="1" ht="15.75" customHeight="1" x14ac:dyDescent="0.25"/>
    <row r="95" s="9" customFormat="1" ht="15.75" customHeight="1" x14ac:dyDescent="0.25"/>
    <row r="96" s="9" customFormat="1" ht="15.75" customHeight="1" x14ac:dyDescent="0.25"/>
    <row r="97" s="9" customFormat="1" ht="15.75" customHeight="1" x14ac:dyDescent="0.25"/>
    <row r="98" s="9" customFormat="1" ht="15.75" customHeight="1" x14ac:dyDescent="0.25"/>
    <row r="99" s="9" customFormat="1" ht="15.75" customHeight="1" x14ac:dyDescent="0.25"/>
    <row r="100" s="9" customFormat="1" ht="15.75" customHeight="1" x14ac:dyDescent="0.25"/>
    <row r="101" s="9" customFormat="1" ht="15.75" customHeight="1" x14ac:dyDescent="0.25"/>
    <row r="102" s="9" customFormat="1" ht="15.75" customHeight="1" x14ac:dyDescent="0.25"/>
    <row r="103" s="9" customFormat="1" ht="15.75" customHeight="1" x14ac:dyDescent="0.25"/>
    <row r="104" s="9" customFormat="1" ht="15.75" customHeight="1" x14ac:dyDescent="0.25"/>
    <row r="105" s="9" customFormat="1" ht="15.75" customHeight="1" x14ac:dyDescent="0.25"/>
    <row r="106" s="9" customFormat="1" ht="15.75" customHeight="1" x14ac:dyDescent="0.25"/>
    <row r="107" s="9" customFormat="1" ht="15.75" customHeight="1" x14ac:dyDescent="0.25"/>
    <row r="108" s="9" customFormat="1" ht="15.75" customHeight="1" x14ac:dyDescent="0.25"/>
    <row r="109" s="9" customFormat="1" ht="15.75" customHeight="1" x14ac:dyDescent="0.25"/>
    <row r="110" s="9" customFormat="1" ht="15.75" customHeight="1" x14ac:dyDescent="0.25"/>
    <row r="111" s="9" customFormat="1" ht="15.75" customHeight="1" x14ac:dyDescent="0.25"/>
    <row r="112" s="9" customFormat="1" ht="15.75" customHeight="1" x14ac:dyDescent="0.25"/>
    <row r="113" s="9" customFormat="1" ht="15.75" customHeight="1" x14ac:dyDescent="0.25"/>
    <row r="114" s="9" customFormat="1" ht="15.75" customHeight="1" x14ac:dyDescent="0.25"/>
    <row r="115" s="9" customFormat="1" ht="15.75" customHeight="1" x14ac:dyDescent="0.25"/>
    <row r="116" s="9" customFormat="1" ht="15.75" customHeight="1" x14ac:dyDescent="0.25"/>
    <row r="117" s="9" customFormat="1" ht="15.75" customHeight="1" x14ac:dyDescent="0.25"/>
    <row r="118" s="9" customFormat="1" ht="15.75" customHeight="1" x14ac:dyDescent="0.25"/>
    <row r="119" s="9" customFormat="1" ht="15.75" customHeight="1" x14ac:dyDescent="0.25"/>
    <row r="120" s="9" customFormat="1" ht="15.75" customHeight="1" x14ac:dyDescent="0.25"/>
    <row r="121" s="9" customFormat="1" ht="15.75" customHeight="1" x14ac:dyDescent="0.25"/>
    <row r="122" s="9" customFormat="1" ht="15.75" customHeight="1" x14ac:dyDescent="0.25"/>
    <row r="123" s="9" customFormat="1" ht="15.75" customHeight="1" x14ac:dyDescent="0.25"/>
    <row r="124" s="9" customFormat="1" ht="15.75" customHeight="1" x14ac:dyDescent="0.25"/>
    <row r="125" s="9" customFormat="1" ht="15.75" customHeight="1" x14ac:dyDescent="0.25"/>
    <row r="126" s="9" customFormat="1" ht="15.75" customHeight="1" x14ac:dyDescent="0.25"/>
    <row r="127" s="9" customFormat="1" ht="15.75" customHeight="1" x14ac:dyDescent="0.25"/>
    <row r="128" s="9" customFormat="1" ht="15.75" customHeight="1" x14ac:dyDescent="0.25"/>
    <row r="129" s="9" customFormat="1" ht="15.75" customHeight="1" x14ac:dyDescent="0.25"/>
    <row r="130" s="9" customFormat="1" ht="15.75" customHeight="1" x14ac:dyDescent="0.25"/>
    <row r="131" s="9" customFormat="1" ht="15.75" customHeight="1" x14ac:dyDescent="0.25"/>
    <row r="132" s="9" customFormat="1" ht="15.75" customHeight="1" x14ac:dyDescent="0.25"/>
    <row r="133" s="9" customFormat="1" ht="15.75" customHeight="1" x14ac:dyDescent="0.25"/>
    <row r="134" s="9" customFormat="1" ht="15.75" customHeight="1" x14ac:dyDescent="0.25"/>
    <row r="135" s="9" customFormat="1" ht="15.75" customHeight="1" x14ac:dyDescent="0.25"/>
    <row r="136" s="9" customFormat="1" ht="15.75" customHeight="1" x14ac:dyDescent="0.25"/>
    <row r="137" s="9" customFormat="1" ht="15.75" customHeight="1" x14ac:dyDescent="0.25"/>
    <row r="138" s="9" customFormat="1" ht="15.75" customHeight="1" x14ac:dyDescent="0.25"/>
    <row r="139" s="9" customFormat="1" ht="15.75" customHeight="1" x14ac:dyDescent="0.25"/>
    <row r="140" s="9" customFormat="1" ht="15.75" customHeight="1" x14ac:dyDescent="0.25"/>
    <row r="141" s="9" customFormat="1" ht="15.75" customHeight="1" x14ac:dyDescent="0.25"/>
    <row r="142" s="9" customFormat="1" ht="15.75" customHeight="1" x14ac:dyDescent="0.25"/>
    <row r="143" s="9" customFormat="1" ht="15.75" customHeight="1" x14ac:dyDescent="0.25"/>
    <row r="144" s="9" customFormat="1" ht="15.75" customHeight="1" x14ac:dyDescent="0.25"/>
    <row r="145" s="9" customFormat="1" ht="15.75" customHeight="1" x14ac:dyDescent="0.25"/>
    <row r="146" s="9" customFormat="1" ht="15.75" customHeight="1" x14ac:dyDescent="0.25"/>
    <row r="147" s="9" customFormat="1" ht="15.75" customHeight="1" x14ac:dyDescent="0.25"/>
    <row r="148" s="9" customFormat="1" ht="15.75" customHeight="1" x14ac:dyDescent="0.25"/>
    <row r="149" s="9" customFormat="1" ht="15.75" customHeight="1" x14ac:dyDescent="0.25"/>
    <row r="150" s="9" customFormat="1" ht="15.75" customHeight="1" x14ac:dyDescent="0.25"/>
    <row r="151" s="9" customFormat="1" ht="15.75" customHeight="1" x14ac:dyDescent="0.25"/>
    <row r="152" s="9" customFormat="1" ht="15.75" customHeight="1" x14ac:dyDescent="0.25"/>
    <row r="153" s="9" customFormat="1" ht="15.75" customHeight="1" x14ac:dyDescent="0.25"/>
    <row r="154" s="9" customFormat="1" ht="15.75" customHeight="1" x14ac:dyDescent="0.25"/>
    <row r="155" s="9" customFormat="1" ht="15.75" customHeight="1" x14ac:dyDescent="0.25"/>
    <row r="156" s="9" customFormat="1" ht="15.75" customHeight="1" x14ac:dyDescent="0.25"/>
    <row r="157" s="9" customFormat="1" ht="15.75" customHeight="1" x14ac:dyDescent="0.25"/>
    <row r="158" s="9" customFormat="1" ht="15.75" customHeight="1" x14ac:dyDescent="0.25"/>
    <row r="159" s="9" customFormat="1" ht="15.75" customHeight="1" x14ac:dyDescent="0.25"/>
    <row r="160" s="9" customFormat="1" ht="15.75" customHeight="1" x14ac:dyDescent="0.25"/>
    <row r="161" s="9" customFormat="1" ht="15.75" customHeight="1" x14ac:dyDescent="0.25"/>
    <row r="162" s="9" customFormat="1" ht="15.75" customHeight="1" x14ac:dyDescent="0.25"/>
    <row r="163" s="9" customFormat="1" ht="15.75" customHeight="1" x14ac:dyDescent="0.25"/>
    <row r="164" s="9" customFormat="1" ht="15.75" customHeight="1" x14ac:dyDescent="0.25"/>
    <row r="165" s="9" customFormat="1" ht="15.75" customHeight="1" x14ac:dyDescent="0.25"/>
    <row r="166" s="9" customFormat="1" ht="15.75" customHeight="1" x14ac:dyDescent="0.25"/>
    <row r="167" s="9" customFormat="1" ht="15.75" customHeight="1" x14ac:dyDescent="0.25"/>
    <row r="168" s="9" customFormat="1" ht="15.75" customHeight="1" x14ac:dyDescent="0.25"/>
    <row r="169" s="9" customFormat="1" ht="15.75" customHeight="1" x14ac:dyDescent="0.25"/>
    <row r="170" s="9" customFormat="1" ht="15.75" customHeight="1" x14ac:dyDescent="0.25"/>
    <row r="171" s="9" customFormat="1" ht="15.75" customHeight="1" x14ac:dyDescent="0.25"/>
    <row r="172" s="9" customFormat="1" ht="15.75" customHeight="1" x14ac:dyDescent="0.25"/>
    <row r="173" s="9" customFormat="1" ht="15.75" customHeight="1" x14ac:dyDescent="0.25"/>
    <row r="174" s="9" customFormat="1" ht="15.75" customHeight="1" x14ac:dyDescent="0.25"/>
    <row r="175" s="9" customFormat="1" ht="15.75" customHeight="1" x14ac:dyDescent="0.25"/>
    <row r="176" s="9" customFormat="1" ht="15.75" customHeight="1" x14ac:dyDescent="0.25"/>
    <row r="177" s="9" customFormat="1" ht="15.75" customHeight="1" x14ac:dyDescent="0.25"/>
    <row r="178" s="9" customFormat="1" ht="15.75" customHeight="1" x14ac:dyDescent="0.25"/>
    <row r="179" s="9" customFormat="1" ht="15.75" customHeight="1" x14ac:dyDescent="0.25"/>
    <row r="180" s="9" customFormat="1" ht="15.75" customHeight="1" x14ac:dyDescent="0.25"/>
    <row r="181" s="9" customFormat="1" ht="15.75" customHeight="1" x14ac:dyDescent="0.25"/>
    <row r="182" s="9" customFormat="1" ht="15.75" customHeight="1" x14ac:dyDescent="0.25"/>
    <row r="183" s="9" customFormat="1" ht="15.75" customHeight="1" x14ac:dyDescent="0.25"/>
    <row r="184" s="9" customFormat="1" ht="15.75" customHeight="1" x14ac:dyDescent="0.25"/>
    <row r="185" s="9" customFormat="1" ht="15.75" customHeight="1" x14ac:dyDescent="0.25"/>
    <row r="186" s="9" customFormat="1" ht="15.75" customHeight="1" x14ac:dyDescent="0.25"/>
    <row r="187" s="9" customFormat="1" ht="15.75" customHeight="1" x14ac:dyDescent="0.25"/>
    <row r="188" s="9" customFormat="1" ht="15.75" customHeight="1" x14ac:dyDescent="0.25"/>
    <row r="189" s="9" customFormat="1" ht="15.75" customHeight="1" x14ac:dyDescent="0.25"/>
    <row r="190" s="9" customFormat="1" ht="15.75" customHeight="1" x14ac:dyDescent="0.25"/>
    <row r="191" s="9" customFormat="1" ht="15.75" customHeight="1" x14ac:dyDescent="0.25"/>
    <row r="192" s="9" customFormat="1" ht="15.75" customHeight="1" x14ac:dyDescent="0.25"/>
    <row r="193" s="9" customFormat="1" ht="15.75" customHeight="1" x14ac:dyDescent="0.25"/>
    <row r="194" s="9" customFormat="1" ht="15.75" customHeight="1" x14ac:dyDescent="0.25"/>
    <row r="195" s="9" customFormat="1" ht="15.75" customHeight="1" x14ac:dyDescent="0.25"/>
    <row r="196" s="9" customFormat="1" ht="15.75" customHeight="1" x14ac:dyDescent="0.25"/>
    <row r="197" s="9" customFormat="1" ht="15.75" customHeight="1" x14ac:dyDescent="0.25"/>
    <row r="198" s="9" customFormat="1" ht="15.75" customHeight="1" x14ac:dyDescent="0.25"/>
    <row r="199" s="9" customFormat="1" ht="15.75" customHeight="1" x14ac:dyDescent="0.25"/>
    <row r="200" s="9" customFormat="1" ht="15.75" customHeight="1" x14ac:dyDescent="0.25"/>
    <row r="201" s="9" customFormat="1" ht="15.75" customHeight="1" x14ac:dyDescent="0.25"/>
    <row r="202" s="9" customFormat="1" ht="15.75" customHeight="1" x14ac:dyDescent="0.25"/>
    <row r="203" s="9" customFormat="1" ht="15.75" customHeight="1" x14ac:dyDescent="0.25"/>
    <row r="204" s="9" customFormat="1" ht="15.75" customHeight="1" x14ac:dyDescent="0.25"/>
    <row r="205" s="9" customFormat="1" ht="15.75" customHeight="1" x14ac:dyDescent="0.25"/>
    <row r="206" s="9" customFormat="1" ht="15.75" customHeight="1" x14ac:dyDescent="0.25"/>
    <row r="207" s="9" customFormat="1" ht="15.75" customHeight="1" x14ac:dyDescent="0.25"/>
    <row r="208" s="9" customFormat="1" ht="15.75" customHeight="1" x14ac:dyDescent="0.25"/>
    <row r="209" s="9" customFormat="1" ht="15.75" customHeight="1" x14ac:dyDescent="0.25"/>
    <row r="210" s="9" customFormat="1" ht="15.75" customHeight="1" x14ac:dyDescent="0.25"/>
    <row r="211" s="9" customFormat="1" ht="15.75" customHeight="1" x14ac:dyDescent="0.25"/>
    <row r="212" s="9" customFormat="1" ht="15.75" customHeight="1" x14ac:dyDescent="0.25"/>
    <row r="213" s="9" customFormat="1" ht="15.75" customHeight="1" x14ac:dyDescent="0.25"/>
    <row r="214" s="9" customFormat="1" ht="15.75" customHeight="1" x14ac:dyDescent="0.25"/>
    <row r="215" s="9" customFormat="1" ht="15.75" customHeight="1" x14ac:dyDescent="0.25"/>
    <row r="216" s="9" customFormat="1" ht="15.75" customHeight="1" x14ac:dyDescent="0.25"/>
    <row r="217" s="9" customFormat="1" ht="15.75" customHeight="1" x14ac:dyDescent="0.25"/>
    <row r="218" s="9" customFormat="1" ht="15.75" customHeight="1" x14ac:dyDescent="0.25"/>
    <row r="219" s="9" customFormat="1" ht="15.75" customHeight="1" x14ac:dyDescent="0.25"/>
    <row r="220" s="9" customFormat="1" ht="15.75" customHeight="1" x14ac:dyDescent="0.25"/>
    <row r="221" s="9" customFormat="1" ht="15.75" customHeight="1" x14ac:dyDescent="0.25"/>
    <row r="222" s="9" customFormat="1" ht="15.75" customHeight="1" x14ac:dyDescent="0.25"/>
    <row r="223" s="9" customFormat="1" ht="15.75" customHeight="1" x14ac:dyDescent="0.25"/>
    <row r="224" s="9" customFormat="1" ht="15.75" customHeight="1" x14ac:dyDescent="0.25"/>
    <row r="225" s="9" customFormat="1" ht="15.75" customHeight="1" x14ac:dyDescent="0.25"/>
    <row r="226" s="9" customFormat="1" ht="15.75" customHeight="1" x14ac:dyDescent="0.25"/>
    <row r="227" s="9" customFormat="1" ht="15.75" customHeight="1" x14ac:dyDescent="0.25"/>
    <row r="228" s="9" customFormat="1" ht="15.75" customHeight="1" x14ac:dyDescent="0.25"/>
    <row r="229" s="9" customFormat="1" ht="15.75" customHeight="1" x14ac:dyDescent="0.25"/>
    <row r="230" s="9" customFormat="1" ht="15.75" customHeight="1" x14ac:dyDescent="0.25"/>
    <row r="231" s="9" customFormat="1" ht="15.75" customHeight="1" x14ac:dyDescent="0.25"/>
    <row r="232" s="9" customFormat="1" ht="15.75" customHeight="1" x14ac:dyDescent="0.25"/>
    <row r="233" s="9" customFormat="1" ht="15.75" customHeight="1" x14ac:dyDescent="0.25"/>
    <row r="234" s="9" customFormat="1" ht="15.75" customHeight="1" x14ac:dyDescent="0.25"/>
    <row r="235" s="9" customFormat="1" ht="15.75" customHeight="1" x14ac:dyDescent="0.25"/>
    <row r="236" s="9" customFormat="1" ht="15.75" customHeight="1" x14ac:dyDescent="0.25"/>
    <row r="237" s="9" customFormat="1" ht="15.75" customHeight="1" x14ac:dyDescent="0.25"/>
    <row r="238" s="9" customFormat="1" ht="15.75" customHeight="1" x14ac:dyDescent="0.25"/>
    <row r="239" s="9" customFormat="1" ht="15.75" customHeight="1" x14ac:dyDescent="0.25"/>
    <row r="240" s="9" customFormat="1" ht="15.75" customHeight="1" x14ac:dyDescent="0.25"/>
    <row r="241" s="9" customFormat="1" ht="15.75" customHeight="1" x14ac:dyDescent="0.25"/>
    <row r="242" s="9" customFormat="1" ht="15.75" customHeight="1" x14ac:dyDescent="0.25"/>
    <row r="243" s="9" customFormat="1" ht="15.75" customHeight="1" x14ac:dyDescent="0.25"/>
    <row r="244" s="9" customFormat="1" ht="15.75" customHeight="1" x14ac:dyDescent="0.25"/>
    <row r="245" s="9" customFormat="1" ht="15.75" customHeight="1" x14ac:dyDescent="0.25"/>
    <row r="246" s="9" customFormat="1" ht="15.75" customHeight="1" x14ac:dyDescent="0.25"/>
    <row r="247" s="9" customFormat="1" ht="15.75" customHeight="1" x14ac:dyDescent="0.25"/>
    <row r="248" s="9" customFormat="1" ht="15.75" customHeight="1" x14ac:dyDescent="0.25"/>
    <row r="249" s="9" customFormat="1" ht="15.75" customHeight="1" x14ac:dyDescent="0.25"/>
    <row r="250" s="9" customFormat="1" ht="15.75" customHeight="1" x14ac:dyDescent="0.25"/>
    <row r="251" s="9" customFormat="1" ht="15.75" customHeight="1" x14ac:dyDescent="0.25"/>
    <row r="252" s="9" customFormat="1" ht="15.75" customHeight="1" x14ac:dyDescent="0.25"/>
    <row r="253" s="9" customFormat="1" ht="15.75" customHeight="1" x14ac:dyDescent="0.25"/>
    <row r="254" s="9" customFormat="1" ht="15.75" customHeight="1" x14ac:dyDescent="0.25"/>
    <row r="255" s="9" customFormat="1" ht="15.75" customHeight="1" x14ac:dyDescent="0.25"/>
    <row r="256" s="9" customFormat="1" ht="15.75" customHeight="1" x14ac:dyDescent="0.25"/>
    <row r="257" s="9" customFormat="1" ht="15.75" customHeight="1" x14ac:dyDescent="0.25"/>
    <row r="258" s="9" customFormat="1" ht="15.75" customHeight="1" x14ac:dyDescent="0.25"/>
    <row r="259" s="9" customFormat="1" ht="15.75" customHeight="1" x14ac:dyDescent="0.25"/>
    <row r="260" s="9" customFormat="1" ht="15.75" customHeight="1" x14ac:dyDescent="0.25"/>
    <row r="261" s="9" customFormat="1" ht="15.75" customHeight="1" x14ac:dyDescent="0.25"/>
    <row r="262" s="9" customFormat="1" ht="15.75" customHeight="1" x14ac:dyDescent="0.25"/>
    <row r="263" s="9" customFormat="1" ht="15.75" customHeight="1" x14ac:dyDescent="0.25"/>
    <row r="264" s="9" customFormat="1" ht="15.75" customHeight="1" x14ac:dyDescent="0.25"/>
    <row r="265" s="9" customFormat="1" ht="15.75" customHeight="1" x14ac:dyDescent="0.25"/>
    <row r="266" s="9" customFormat="1" ht="15.75" customHeight="1" x14ac:dyDescent="0.25"/>
    <row r="267" s="9" customFormat="1" ht="15.75" customHeight="1" x14ac:dyDescent="0.25"/>
    <row r="268" s="9" customFormat="1" ht="15.75" customHeight="1" x14ac:dyDescent="0.25"/>
    <row r="269" s="9" customFormat="1" ht="15.75" customHeight="1" x14ac:dyDescent="0.25"/>
    <row r="270" s="9" customFormat="1" ht="15.75" customHeight="1" x14ac:dyDescent="0.25"/>
    <row r="271" s="9" customFormat="1" ht="15.75" customHeight="1" x14ac:dyDescent="0.25"/>
    <row r="272" s="9" customFormat="1" ht="15.75" customHeight="1" x14ac:dyDescent="0.25"/>
    <row r="273" s="9" customFormat="1" ht="15.75" customHeight="1" x14ac:dyDescent="0.25"/>
    <row r="274" s="9" customFormat="1" ht="15.75" customHeight="1" x14ac:dyDescent="0.25"/>
    <row r="275" s="9" customFormat="1" ht="15.75" customHeight="1" x14ac:dyDescent="0.25"/>
    <row r="276" s="9" customFormat="1" ht="15.75" customHeight="1" x14ac:dyDescent="0.25"/>
    <row r="277" s="9" customFormat="1" ht="15.75" customHeight="1" x14ac:dyDescent="0.25"/>
    <row r="278" s="9" customFormat="1" ht="15.75" customHeight="1" x14ac:dyDescent="0.25"/>
    <row r="279" s="9" customFormat="1" ht="15.75" customHeight="1" x14ac:dyDescent="0.25"/>
    <row r="280" s="9" customFormat="1" ht="15.75" customHeight="1" x14ac:dyDescent="0.25"/>
    <row r="281" s="9" customFormat="1" ht="15.75" customHeight="1" x14ac:dyDescent="0.25"/>
    <row r="282" s="9" customFormat="1" ht="15.75" customHeight="1" x14ac:dyDescent="0.25"/>
    <row r="283" s="9" customFormat="1" ht="15.75" customHeight="1" x14ac:dyDescent="0.25"/>
    <row r="284" s="9" customFormat="1" ht="15.75" customHeight="1" x14ac:dyDescent="0.25"/>
    <row r="285" s="9" customFormat="1" ht="15.75" customHeight="1" x14ac:dyDescent="0.25"/>
    <row r="286" s="9" customFormat="1" ht="15.75" customHeight="1" x14ac:dyDescent="0.25"/>
    <row r="287" s="9" customFormat="1" ht="15.75" customHeight="1" x14ac:dyDescent="0.25"/>
    <row r="288" s="9" customFormat="1" ht="15.75" customHeight="1" x14ac:dyDescent="0.25"/>
    <row r="289" s="9" customFormat="1" ht="15.75" customHeight="1" x14ac:dyDescent="0.25"/>
    <row r="290" s="9" customFormat="1" ht="15.75" customHeight="1" x14ac:dyDescent="0.25"/>
    <row r="291" s="9" customFormat="1" ht="15.75" customHeight="1" x14ac:dyDescent="0.25"/>
    <row r="292" s="9" customFormat="1" ht="15.75" customHeight="1" x14ac:dyDescent="0.25"/>
    <row r="293" s="9" customFormat="1" ht="15.75" customHeight="1" x14ac:dyDescent="0.25"/>
    <row r="294" s="9" customFormat="1" ht="15.75" customHeight="1" x14ac:dyDescent="0.25"/>
    <row r="295" s="9" customFormat="1" ht="15.75" customHeight="1" x14ac:dyDescent="0.25"/>
    <row r="296" s="9" customFormat="1" ht="15.75" customHeight="1" x14ac:dyDescent="0.25"/>
    <row r="297" s="9" customFormat="1" ht="15.75" customHeight="1" x14ac:dyDescent="0.25"/>
    <row r="298" s="9" customFormat="1" ht="15.75" customHeight="1" x14ac:dyDescent="0.25"/>
    <row r="299" s="9" customFormat="1" ht="15.75" customHeight="1" x14ac:dyDescent="0.25"/>
    <row r="300" s="9" customFormat="1" ht="15.75" customHeight="1" x14ac:dyDescent="0.25"/>
    <row r="301" s="9" customFormat="1" ht="15.75" customHeight="1" x14ac:dyDescent="0.25"/>
    <row r="302" s="9" customFormat="1" ht="15.75" customHeight="1" x14ac:dyDescent="0.25"/>
    <row r="303" s="9" customFormat="1" ht="15.75" customHeight="1" x14ac:dyDescent="0.25"/>
    <row r="304" s="9" customFormat="1" ht="15.75" customHeight="1" x14ac:dyDescent="0.25"/>
    <row r="305" s="9" customFormat="1" ht="15.75" customHeight="1" x14ac:dyDescent="0.25"/>
    <row r="306" s="9" customFormat="1" ht="15.75" customHeight="1" x14ac:dyDescent="0.25"/>
    <row r="307" s="9" customFormat="1" ht="15.75" customHeight="1" x14ac:dyDescent="0.25"/>
    <row r="308" s="9" customFormat="1" ht="15.75" customHeight="1" x14ac:dyDescent="0.25"/>
    <row r="309" s="9" customFormat="1" ht="15.75" customHeight="1" x14ac:dyDescent="0.25"/>
    <row r="310" s="9" customFormat="1" ht="15.75" customHeight="1" x14ac:dyDescent="0.25"/>
    <row r="311" s="9" customFormat="1" ht="15.75" customHeight="1" x14ac:dyDescent="0.25"/>
    <row r="312" s="9" customFormat="1" ht="15.75" customHeight="1" x14ac:dyDescent="0.25"/>
    <row r="313" s="9" customFormat="1" ht="15.75" customHeight="1" x14ac:dyDescent="0.25"/>
    <row r="314" s="9" customFormat="1" ht="15.75" customHeight="1" x14ac:dyDescent="0.25"/>
    <row r="315" s="9" customFormat="1" ht="15.75" customHeight="1" x14ac:dyDescent="0.25"/>
    <row r="316" s="9" customFormat="1" ht="15.75" customHeight="1" x14ac:dyDescent="0.25"/>
    <row r="317" s="9" customFormat="1" ht="15.75" customHeight="1" x14ac:dyDescent="0.25"/>
    <row r="318" s="9" customFormat="1" ht="15.75" customHeight="1" x14ac:dyDescent="0.25"/>
    <row r="319" s="9" customFormat="1" ht="15.75" customHeight="1" x14ac:dyDescent="0.25"/>
    <row r="320" s="9" customFormat="1" ht="15.75" customHeight="1" x14ac:dyDescent="0.25"/>
    <row r="321" s="9" customFormat="1" ht="15.75" customHeight="1" x14ac:dyDescent="0.25"/>
    <row r="322" s="9" customFormat="1" ht="15.75" customHeight="1" x14ac:dyDescent="0.25"/>
    <row r="323" s="9" customFormat="1" ht="15.75" customHeight="1" x14ac:dyDescent="0.25"/>
    <row r="324" s="9" customFormat="1" ht="15.75" customHeight="1" x14ac:dyDescent="0.25"/>
    <row r="325" s="9" customFormat="1" ht="15.75" customHeight="1" x14ac:dyDescent="0.25"/>
    <row r="326" s="9" customFormat="1" ht="15.75" customHeight="1" x14ac:dyDescent="0.25"/>
    <row r="327" s="9" customFormat="1" ht="15.75" customHeight="1" x14ac:dyDescent="0.25"/>
    <row r="328" s="9" customFormat="1" ht="15.75" customHeight="1" x14ac:dyDescent="0.25"/>
    <row r="329" s="9" customFormat="1" ht="15.75" customHeight="1" x14ac:dyDescent="0.25"/>
    <row r="330" s="9" customFormat="1" ht="15.75" customHeight="1" x14ac:dyDescent="0.25"/>
    <row r="331" s="9" customFormat="1" ht="15.75" customHeight="1" x14ac:dyDescent="0.25"/>
    <row r="332" s="9" customFormat="1" ht="15.75" customHeight="1" x14ac:dyDescent="0.25"/>
    <row r="333" s="9" customFormat="1" ht="15.75" customHeight="1" x14ac:dyDescent="0.25"/>
    <row r="334" s="9" customFormat="1" ht="15.75" customHeight="1" x14ac:dyDescent="0.25"/>
    <row r="335" s="9" customFormat="1" ht="15.75" customHeight="1" x14ac:dyDescent="0.25"/>
    <row r="336" s="9" customFormat="1" ht="15.75" customHeight="1" x14ac:dyDescent="0.25"/>
    <row r="337" s="9" customFormat="1" ht="15.75" customHeight="1" x14ac:dyDescent="0.25"/>
    <row r="338" s="9" customFormat="1" ht="15.75" customHeight="1" x14ac:dyDescent="0.25"/>
    <row r="339" s="9" customFormat="1" ht="15.75" customHeight="1" x14ac:dyDescent="0.25"/>
    <row r="340" s="9" customFormat="1" ht="15.75" customHeight="1" x14ac:dyDescent="0.25"/>
    <row r="341" s="9" customFormat="1" ht="15.75" customHeight="1" x14ac:dyDescent="0.25"/>
    <row r="342" s="9" customFormat="1" ht="15.75" customHeight="1" x14ac:dyDescent="0.25"/>
    <row r="343" s="9" customFormat="1" ht="15.75" customHeight="1" x14ac:dyDescent="0.25"/>
    <row r="344" s="9" customFormat="1" ht="15.75" customHeight="1" x14ac:dyDescent="0.25"/>
    <row r="345" s="9" customFormat="1" ht="15.75" customHeight="1" x14ac:dyDescent="0.25"/>
    <row r="346" s="9" customFormat="1" ht="15.75" customHeight="1" x14ac:dyDescent="0.25"/>
    <row r="347" s="9" customFormat="1" ht="15.75" customHeight="1" x14ac:dyDescent="0.25"/>
    <row r="348" s="9" customFormat="1" ht="15.75" customHeight="1" x14ac:dyDescent="0.25"/>
    <row r="349" s="9" customFormat="1" ht="15.75" customHeight="1" x14ac:dyDescent="0.25"/>
    <row r="350" s="9" customFormat="1" ht="15.75" customHeight="1" x14ac:dyDescent="0.25"/>
    <row r="351" s="9" customFormat="1" ht="15.75" customHeight="1" x14ac:dyDescent="0.25"/>
    <row r="352" s="9" customFormat="1" ht="15.75" customHeight="1" x14ac:dyDescent="0.25"/>
    <row r="353" s="9" customFormat="1" ht="15.75" customHeight="1" x14ac:dyDescent="0.25"/>
    <row r="354" s="9" customFormat="1" ht="15.75" customHeight="1" x14ac:dyDescent="0.25"/>
    <row r="355" s="9" customFormat="1" ht="15.75" customHeight="1" x14ac:dyDescent="0.25"/>
    <row r="356" s="9" customFormat="1" ht="15.75" customHeight="1" x14ac:dyDescent="0.25"/>
    <row r="357" s="9" customFormat="1" ht="15.75" customHeight="1" x14ac:dyDescent="0.25"/>
    <row r="358" s="9" customFormat="1" ht="15.75" customHeight="1" x14ac:dyDescent="0.25"/>
    <row r="359" s="9" customFormat="1" ht="15.75" customHeight="1" x14ac:dyDescent="0.25"/>
    <row r="360" s="9" customFormat="1" ht="15.75" customHeight="1" x14ac:dyDescent="0.25"/>
    <row r="361" s="9" customFormat="1" ht="15.75" customHeight="1" x14ac:dyDescent="0.25"/>
    <row r="362" s="9" customFormat="1" ht="15.75" customHeight="1" x14ac:dyDescent="0.25"/>
    <row r="363" s="9" customFormat="1" ht="15.75" customHeight="1" x14ac:dyDescent="0.25"/>
    <row r="364" s="9" customFormat="1" ht="15.75" customHeight="1" x14ac:dyDescent="0.25"/>
    <row r="365" s="9" customFormat="1" ht="15.75" customHeight="1" x14ac:dyDescent="0.25"/>
    <row r="366" s="9" customFormat="1" ht="15.75" customHeight="1" x14ac:dyDescent="0.25"/>
    <row r="367" s="9" customFormat="1" ht="15.75" customHeight="1" x14ac:dyDescent="0.25"/>
    <row r="368" s="9" customFormat="1" ht="15.75" customHeight="1" x14ac:dyDescent="0.25"/>
    <row r="369" s="9" customFormat="1" ht="15.75" customHeight="1" x14ac:dyDescent="0.25"/>
    <row r="370" s="9" customFormat="1" ht="15.75" customHeight="1" x14ac:dyDescent="0.25"/>
    <row r="371" s="9" customFormat="1" ht="15.75" customHeight="1" x14ac:dyDescent="0.25"/>
    <row r="372" s="9" customFormat="1" ht="15.75" customHeight="1" x14ac:dyDescent="0.25"/>
    <row r="373" s="9" customFormat="1" ht="15.75" customHeight="1" x14ac:dyDescent="0.25"/>
    <row r="374" s="9" customFormat="1" ht="15.75" customHeight="1" x14ac:dyDescent="0.25"/>
    <row r="375" s="9" customFormat="1" ht="15.75" customHeight="1" x14ac:dyDescent="0.25"/>
    <row r="376" s="9" customFormat="1" ht="15.75" customHeight="1" x14ac:dyDescent="0.25"/>
    <row r="377" s="9" customFormat="1" ht="15.75" customHeight="1" x14ac:dyDescent="0.25"/>
    <row r="378" s="9" customFormat="1" ht="15.75" customHeight="1" x14ac:dyDescent="0.25"/>
    <row r="379" s="9" customFormat="1" ht="15.75" customHeight="1" x14ac:dyDescent="0.25"/>
    <row r="380" s="9" customFormat="1" ht="15.75" customHeight="1" x14ac:dyDescent="0.25"/>
    <row r="381" s="9" customFormat="1" ht="15.75" customHeight="1" x14ac:dyDescent="0.25"/>
    <row r="382" s="9" customFormat="1" ht="15.75" customHeight="1" x14ac:dyDescent="0.25"/>
    <row r="383" s="9" customFormat="1" ht="15.75" customHeight="1" x14ac:dyDescent="0.25"/>
    <row r="384" s="9" customFormat="1" ht="15.75" customHeight="1" x14ac:dyDescent="0.25"/>
    <row r="385" s="9" customFormat="1" ht="15.75" customHeight="1" x14ac:dyDescent="0.25"/>
    <row r="386" s="9" customFormat="1" ht="15.75" customHeight="1" x14ac:dyDescent="0.25"/>
    <row r="387" s="9" customFormat="1" ht="15.75" customHeight="1" x14ac:dyDescent="0.25"/>
    <row r="388" s="9" customFormat="1" ht="15.75" customHeight="1" x14ac:dyDescent="0.25"/>
    <row r="389" s="9" customFormat="1" ht="15.75" customHeight="1" x14ac:dyDescent="0.25"/>
    <row r="390" s="9" customFormat="1" ht="15.75" customHeight="1" x14ac:dyDescent="0.25"/>
    <row r="391" s="9" customFormat="1" ht="15.75" customHeight="1" x14ac:dyDescent="0.25"/>
    <row r="392" s="9" customFormat="1" ht="15.75" customHeight="1" x14ac:dyDescent="0.25"/>
    <row r="393" s="9" customFormat="1" ht="15.75" customHeight="1" x14ac:dyDescent="0.25"/>
    <row r="394" s="9" customFormat="1" ht="15.75" customHeight="1" x14ac:dyDescent="0.25"/>
    <row r="395" s="9" customFormat="1" ht="15.75" customHeight="1" x14ac:dyDescent="0.25"/>
    <row r="396" s="9" customFormat="1" ht="15.75" customHeight="1" x14ac:dyDescent="0.25"/>
    <row r="397" s="9" customFormat="1" ht="15.75" customHeight="1" x14ac:dyDescent="0.25"/>
    <row r="398" s="9" customFormat="1" ht="15.75" customHeight="1" x14ac:dyDescent="0.25"/>
    <row r="399" s="9" customFormat="1" ht="15.75" customHeight="1" x14ac:dyDescent="0.25"/>
    <row r="400" s="9" customFormat="1" ht="15.75" customHeight="1" x14ac:dyDescent="0.25"/>
    <row r="401" s="9" customFormat="1" ht="15.75" customHeight="1" x14ac:dyDescent="0.25"/>
    <row r="402" s="9" customFormat="1" ht="15.75" customHeight="1" x14ac:dyDescent="0.25"/>
    <row r="403" s="9" customFormat="1" ht="15.75" customHeight="1" x14ac:dyDescent="0.25"/>
    <row r="404" s="9" customFormat="1" ht="15.75" customHeight="1" x14ac:dyDescent="0.25"/>
    <row r="405" s="9" customFormat="1" ht="15.75" customHeight="1" x14ac:dyDescent="0.25"/>
    <row r="406" s="9" customFormat="1" ht="15.75" customHeight="1" x14ac:dyDescent="0.25"/>
    <row r="407" s="9" customFormat="1" ht="15.75" customHeight="1" x14ac:dyDescent="0.25"/>
    <row r="408" s="9" customFormat="1" ht="15.75" customHeight="1" x14ac:dyDescent="0.25"/>
    <row r="409" s="9" customFormat="1" ht="15.75" customHeight="1" x14ac:dyDescent="0.25"/>
    <row r="410" s="9" customFormat="1" ht="15.75" customHeight="1" x14ac:dyDescent="0.25"/>
    <row r="411" s="9" customFormat="1" ht="15.75" customHeight="1" x14ac:dyDescent="0.25"/>
    <row r="412" s="9" customFormat="1" ht="15.75" customHeight="1" x14ac:dyDescent="0.25"/>
    <row r="413" s="9" customFormat="1" ht="15.75" customHeight="1" x14ac:dyDescent="0.25"/>
    <row r="414" s="9" customFormat="1" ht="15.75" customHeight="1" x14ac:dyDescent="0.25"/>
    <row r="415" s="9" customFormat="1" ht="15.75" customHeight="1" x14ac:dyDescent="0.25"/>
    <row r="416" s="9" customFormat="1" ht="15.75" customHeight="1" x14ac:dyDescent="0.25"/>
    <row r="417" s="9" customFormat="1" ht="15.75" customHeight="1" x14ac:dyDescent="0.25"/>
    <row r="418" s="9" customFormat="1" ht="15.75" customHeight="1" x14ac:dyDescent="0.25"/>
    <row r="419" s="9" customFormat="1" ht="15.75" customHeight="1" x14ac:dyDescent="0.25"/>
    <row r="420" s="9" customFormat="1" ht="15.75" customHeight="1" x14ac:dyDescent="0.25"/>
    <row r="421" s="9" customFormat="1" ht="15.75" customHeight="1" x14ac:dyDescent="0.25"/>
    <row r="422" s="9" customFormat="1" ht="15.75" customHeight="1" x14ac:dyDescent="0.25"/>
    <row r="423" s="9" customFormat="1" ht="15.75" customHeight="1" x14ac:dyDescent="0.25"/>
    <row r="424" s="9" customFormat="1" ht="15.75" customHeight="1" x14ac:dyDescent="0.25"/>
    <row r="425" s="9" customFormat="1" ht="15.75" customHeight="1" x14ac:dyDescent="0.25"/>
    <row r="426" s="9" customFormat="1" ht="15.75" customHeight="1" x14ac:dyDescent="0.25"/>
    <row r="427" s="9" customFormat="1" ht="15.75" customHeight="1" x14ac:dyDescent="0.25"/>
    <row r="428" s="9" customFormat="1" ht="15.75" customHeight="1" x14ac:dyDescent="0.25"/>
    <row r="429" s="9" customFormat="1" ht="15.75" customHeight="1" x14ac:dyDescent="0.25"/>
    <row r="430" s="9" customFormat="1" ht="15.75" customHeight="1" x14ac:dyDescent="0.25"/>
    <row r="431" s="9" customFormat="1" ht="15.75" customHeight="1" x14ac:dyDescent="0.25"/>
    <row r="432" s="9" customFormat="1" ht="15.75" customHeight="1" x14ac:dyDescent="0.25"/>
    <row r="433" s="9" customFormat="1" ht="15.75" customHeight="1" x14ac:dyDescent="0.25"/>
    <row r="434" s="9" customFormat="1" ht="15.75" customHeight="1" x14ac:dyDescent="0.25"/>
    <row r="435" s="9" customFormat="1" ht="15.75" customHeight="1" x14ac:dyDescent="0.25"/>
    <row r="436" s="9" customFormat="1" ht="15.75" customHeight="1" x14ac:dyDescent="0.25"/>
    <row r="437" s="9" customFormat="1" ht="15.75" customHeight="1" x14ac:dyDescent="0.25"/>
    <row r="438" s="9" customFormat="1" ht="15.75" customHeight="1" x14ac:dyDescent="0.25"/>
    <row r="439" s="9" customFormat="1" ht="15.75" customHeight="1" x14ac:dyDescent="0.25"/>
    <row r="440" s="9" customFormat="1" ht="15.75" customHeight="1" x14ac:dyDescent="0.25"/>
    <row r="441" s="9" customFormat="1" ht="15.75" customHeight="1" x14ac:dyDescent="0.25"/>
    <row r="442" s="9" customFormat="1" ht="15.75" customHeight="1" x14ac:dyDescent="0.25"/>
    <row r="443" s="9" customFormat="1" ht="15.75" customHeight="1" x14ac:dyDescent="0.25"/>
    <row r="444" s="9" customFormat="1" ht="15.75" customHeight="1" x14ac:dyDescent="0.25"/>
    <row r="445" s="9" customFormat="1" ht="15.75" customHeight="1" x14ac:dyDescent="0.25"/>
    <row r="446" s="9" customFormat="1" ht="15.75" customHeight="1" x14ac:dyDescent="0.25"/>
    <row r="447" s="9" customFormat="1" ht="15.75" customHeight="1" x14ac:dyDescent="0.25"/>
    <row r="448" s="9" customFormat="1" ht="15.75" customHeight="1" x14ac:dyDescent="0.25"/>
    <row r="449" s="9" customFormat="1" ht="15.75" customHeight="1" x14ac:dyDescent="0.25"/>
    <row r="450" s="9" customFormat="1" ht="15.75" customHeight="1" x14ac:dyDescent="0.25"/>
    <row r="451" s="9" customFormat="1" ht="15.75" customHeight="1" x14ac:dyDescent="0.25"/>
    <row r="452" s="9" customFormat="1" ht="15.75" customHeight="1" x14ac:dyDescent="0.25"/>
    <row r="453" s="9" customFormat="1" ht="15.75" customHeight="1" x14ac:dyDescent="0.25"/>
    <row r="454" s="9" customFormat="1" ht="15.75" customHeight="1" x14ac:dyDescent="0.25"/>
    <row r="455" s="9" customFormat="1" ht="15.75" customHeight="1" x14ac:dyDescent="0.25"/>
    <row r="456" s="9" customFormat="1" ht="15.75" customHeight="1" x14ac:dyDescent="0.25"/>
    <row r="457" s="9" customFormat="1" ht="15.75" customHeight="1" x14ac:dyDescent="0.25"/>
    <row r="458" s="9" customFormat="1" ht="15.75" customHeight="1" x14ac:dyDescent="0.25"/>
    <row r="459" s="9" customFormat="1" ht="15.75" customHeight="1" x14ac:dyDescent="0.25"/>
    <row r="460" s="9" customFormat="1" ht="15.75" customHeight="1" x14ac:dyDescent="0.25"/>
    <row r="461" s="9" customFormat="1" ht="15.75" customHeight="1" x14ac:dyDescent="0.25"/>
    <row r="462" s="9" customFormat="1" ht="15.75" customHeight="1" x14ac:dyDescent="0.25"/>
    <row r="463" s="9" customFormat="1" ht="15.75" customHeight="1" x14ac:dyDescent="0.25"/>
    <row r="464" s="9" customFormat="1" ht="15.75" customHeight="1" x14ac:dyDescent="0.25"/>
    <row r="465" s="9" customFormat="1" ht="15.75" customHeight="1" x14ac:dyDescent="0.25"/>
    <row r="466" s="9" customFormat="1" ht="15.75" customHeight="1" x14ac:dyDescent="0.25"/>
    <row r="467" s="9" customFormat="1" ht="15.75" customHeight="1" x14ac:dyDescent="0.25"/>
    <row r="468" s="9" customFormat="1" ht="15.75" customHeight="1" x14ac:dyDescent="0.25"/>
    <row r="469" s="9" customFormat="1" ht="15.75" customHeight="1" x14ac:dyDescent="0.25"/>
    <row r="470" s="9" customFormat="1" ht="15.75" customHeight="1" x14ac:dyDescent="0.25"/>
    <row r="471" s="9" customFormat="1" ht="15.75" customHeight="1" x14ac:dyDescent="0.25"/>
    <row r="472" s="9" customFormat="1" ht="15.75" customHeight="1" x14ac:dyDescent="0.25"/>
    <row r="473" s="9" customFormat="1" ht="15.75" customHeight="1" x14ac:dyDescent="0.25"/>
    <row r="474" s="9" customFormat="1" ht="15.75" customHeight="1" x14ac:dyDescent="0.25"/>
    <row r="475" s="9" customFormat="1" ht="15.75" customHeight="1" x14ac:dyDescent="0.25"/>
    <row r="476" s="9" customFormat="1" ht="15.75" customHeight="1" x14ac:dyDescent="0.25"/>
    <row r="477" s="9" customFormat="1" ht="15.75" customHeight="1" x14ac:dyDescent="0.25"/>
    <row r="478" s="9" customFormat="1" ht="15.75" customHeight="1" x14ac:dyDescent="0.25"/>
    <row r="479" s="9" customFormat="1" ht="15.75" customHeight="1" x14ac:dyDescent="0.25"/>
    <row r="480" s="9" customFormat="1" ht="15.75" customHeight="1" x14ac:dyDescent="0.25"/>
    <row r="481" s="9" customFormat="1" ht="15.75" customHeight="1" x14ac:dyDescent="0.25"/>
    <row r="482" s="9" customFormat="1" ht="15.75" customHeight="1" x14ac:dyDescent="0.25"/>
    <row r="483" s="9" customFormat="1" ht="15.75" customHeight="1" x14ac:dyDescent="0.25"/>
    <row r="484" s="9" customFormat="1" ht="15.75" customHeight="1" x14ac:dyDescent="0.25"/>
    <row r="485" s="9" customFormat="1" ht="15.75" customHeight="1" x14ac:dyDescent="0.25"/>
    <row r="486" s="9" customFormat="1" ht="15.75" customHeight="1" x14ac:dyDescent="0.25"/>
    <row r="487" s="9" customFormat="1" ht="15.75" customHeight="1" x14ac:dyDescent="0.25"/>
    <row r="488" s="9" customFormat="1" ht="15.75" customHeight="1" x14ac:dyDescent="0.25"/>
    <row r="489" s="9" customFormat="1" ht="15.75" customHeight="1" x14ac:dyDescent="0.25"/>
    <row r="490" s="9" customFormat="1" ht="15.75" customHeight="1" x14ac:dyDescent="0.25"/>
    <row r="491" s="9" customFormat="1" ht="15.75" customHeight="1" x14ac:dyDescent="0.25"/>
    <row r="492" s="9" customFormat="1" ht="15.75" customHeight="1" x14ac:dyDescent="0.25"/>
    <row r="493" s="9" customFormat="1" ht="15.75" customHeight="1" x14ac:dyDescent="0.25"/>
    <row r="494" s="9" customFormat="1" ht="15.75" customHeight="1" x14ac:dyDescent="0.25"/>
    <row r="495" s="9" customFormat="1" ht="15.75" customHeight="1" x14ac:dyDescent="0.25"/>
    <row r="496" s="9" customFormat="1" ht="15.75" customHeight="1" x14ac:dyDescent="0.25"/>
    <row r="497" s="9" customFormat="1" ht="15.75" customHeight="1" x14ac:dyDescent="0.25"/>
    <row r="498" s="9" customFormat="1" ht="15.75" customHeight="1" x14ac:dyDescent="0.25"/>
    <row r="499" s="9" customFormat="1" ht="15.75" customHeight="1" x14ac:dyDescent="0.25"/>
    <row r="500" s="9" customFormat="1" ht="15.75" customHeight="1" x14ac:dyDescent="0.25"/>
    <row r="501" s="9" customFormat="1" ht="15.75" customHeight="1" x14ac:dyDescent="0.25"/>
    <row r="502" s="9" customFormat="1" ht="15.75" customHeight="1" x14ac:dyDescent="0.25"/>
    <row r="503" s="9" customFormat="1" ht="15.75" customHeight="1" x14ac:dyDescent="0.25"/>
    <row r="504" s="9" customFormat="1" ht="15.75" customHeight="1" x14ac:dyDescent="0.25"/>
    <row r="505" s="9" customFormat="1" ht="15.75" customHeight="1" x14ac:dyDescent="0.25"/>
    <row r="506" s="9" customFormat="1" ht="15.75" customHeight="1" x14ac:dyDescent="0.25"/>
    <row r="507" s="9" customFormat="1" ht="15.75" customHeight="1" x14ac:dyDescent="0.25"/>
    <row r="508" s="9" customFormat="1" ht="15.75" customHeight="1" x14ac:dyDescent="0.25"/>
    <row r="509" s="9" customFormat="1" ht="15.75" customHeight="1" x14ac:dyDescent="0.25"/>
    <row r="510" s="9" customFormat="1" ht="15.75" customHeight="1" x14ac:dyDescent="0.25"/>
    <row r="511" s="9" customFormat="1" ht="15.75" customHeight="1" x14ac:dyDescent="0.25"/>
    <row r="512" s="9" customFormat="1" ht="15.75" customHeight="1" x14ac:dyDescent="0.25"/>
    <row r="513" s="9" customFormat="1" ht="15.75" customHeight="1" x14ac:dyDescent="0.25"/>
    <row r="514" s="9" customFormat="1" ht="15.75" customHeight="1" x14ac:dyDescent="0.25"/>
    <row r="515" s="9" customFormat="1" ht="15.75" customHeight="1" x14ac:dyDescent="0.25"/>
    <row r="516" s="9" customFormat="1" ht="15.75" customHeight="1" x14ac:dyDescent="0.25"/>
    <row r="517" s="9" customFormat="1" ht="15.75" customHeight="1" x14ac:dyDescent="0.25"/>
    <row r="518" s="9" customFormat="1" ht="15.75" customHeight="1" x14ac:dyDescent="0.25"/>
    <row r="519" s="9" customFormat="1" ht="15.75" customHeight="1" x14ac:dyDescent="0.25"/>
    <row r="520" s="9" customFormat="1" ht="15.75" customHeight="1" x14ac:dyDescent="0.25"/>
    <row r="521" s="9" customFormat="1" ht="15.75" customHeight="1" x14ac:dyDescent="0.25"/>
    <row r="522" s="9" customFormat="1" ht="15.75" customHeight="1" x14ac:dyDescent="0.25"/>
    <row r="523" s="9" customFormat="1" ht="15.75" customHeight="1" x14ac:dyDescent="0.25"/>
    <row r="524" s="9" customFormat="1" ht="15.75" customHeight="1" x14ac:dyDescent="0.25"/>
    <row r="525" s="9" customFormat="1" ht="15.75" customHeight="1" x14ac:dyDescent="0.25"/>
    <row r="526" s="9" customFormat="1" ht="15.75" customHeight="1" x14ac:dyDescent="0.25"/>
    <row r="527" s="9" customFormat="1" ht="15.75" customHeight="1" x14ac:dyDescent="0.25"/>
    <row r="528" s="9" customFormat="1" ht="15.75" customHeight="1" x14ac:dyDescent="0.25"/>
    <row r="529" s="9" customFormat="1" ht="15.75" customHeight="1" x14ac:dyDescent="0.25"/>
    <row r="530" s="9" customFormat="1" ht="15.75" customHeight="1" x14ac:dyDescent="0.25"/>
    <row r="531" s="9" customFormat="1" ht="15.75" customHeight="1" x14ac:dyDescent="0.25"/>
    <row r="532" s="9" customFormat="1" ht="15.75" customHeight="1" x14ac:dyDescent="0.25"/>
    <row r="533" s="9" customFormat="1" ht="15.75" customHeight="1" x14ac:dyDescent="0.25"/>
    <row r="534" s="9" customFormat="1" ht="15.75" customHeight="1" x14ac:dyDescent="0.25"/>
    <row r="535" s="9" customFormat="1" ht="15.75" customHeight="1" x14ac:dyDescent="0.25"/>
    <row r="536" s="9" customFormat="1" ht="15.75" customHeight="1" x14ac:dyDescent="0.25"/>
    <row r="537" s="9" customFormat="1" ht="15.75" customHeight="1" x14ac:dyDescent="0.25"/>
    <row r="538" s="9" customFormat="1" ht="15.75" customHeight="1" x14ac:dyDescent="0.25"/>
    <row r="539" s="9" customFormat="1" ht="15.75" customHeight="1" x14ac:dyDescent="0.25"/>
    <row r="540" s="9" customFormat="1" ht="15.75" customHeight="1" x14ac:dyDescent="0.25"/>
    <row r="541" s="9" customFormat="1" ht="15.75" customHeight="1" x14ac:dyDescent="0.25"/>
    <row r="542" s="9" customFormat="1" ht="15.75" customHeight="1" x14ac:dyDescent="0.25"/>
    <row r="543" s="9" customFormat="1" ht="15.75" customHeight="1" x14ac:dyDescent="0.25"/>
    <row r="544" s="9" customFormat="1" ht="15.75" customHeight="1" x14ac:dyDescent="0.25"/>
    <row r="545" s="9" customFormat="1" ht="15.75" customHeight="1" x14ac:dyDescent="0.25"/>
    <row r="546" s="9" customFormat="1" ht="15.75" customHeight="1" x14ac:dyDescent="0.25"/>
    <row r="547" s="9" customFormat="1" ht="15.75" customHeight="1" x14ac:dyDescent="0.25"/>
    <row r="548" s="9" customFormat="1" ht="15.75" customHeight="1" x14ac:dyDescent="0.25"/>
    <row r="549" s="9" customFormat="1" ht="15.75" customHeight="1" x14ac:dyDescent="0.25"/>
    <row r="550" s="9" customFormat="1" ht="15.75" customHeight="1" x14ac:dyDescent="0.25"/>
    <row r="551" s="9" customFormat="1" ht="15.75" customHeight="1" x14ac:dyDescent="0.25"/>
    <row r="552" s="9" customFormat="1" ht="15.75" customHeight="1" x14ac:dyDescent="0.25"/>
    <row r="553" s="9" customFormat="1" ht="15.75" customHeight="1" x14ac:dyDescent="0.25"/>
    <row r="554" s="9" customFormat="1" ht="15.75" customHeight="1" x14ac:dyDescent="0.25"/>
    <row r="555" s="9" customFormat="1" ht="15.75" customHeight="1" x14ac:dyDescent="0.25"/>
    <row r="556" s="9" customFormat="1" ht="15.75" customHeight="1" x14ac:dyDescent="0.25"/>
    <row r="557" s="9" customFormat="1" ht="15.75" customHeight="1" x14ac:dyDescent="0.25"/>
    <row r="558" s="9" customFormat="1" ht="15.75" customHeight="1" x14ac:dyDescent="0.25"/>
    <row r="559" s="9" customFormat="1" ht="15.75" customHeight="1" x14ac:dyDescent="0.25"/>
    <row r="560" s="9" customFormat="1" ht="15.75" customHeight="1" x14ac:dyDescent="0.25"/>
    <row r="561" s="9" customFormat="1" ht="15.75" customHeight="1" x14ac:dyDescent="0.25"/>
    <row r="562" s="9" customFormat="1" ht="15.75" customHeight="1" x14ac:dyDescent="0.25"/>
    <row r="563" s="9" customFormat="1" ht="15.75" customHeight="1" x14ac:dyDescent="0.25"/>
    <row r="564" s="9" customFormat="1" ht="15.75" customHeight="1" x14ac:dyDescent="0.25"/>
    <row r="565" s="9" customFormat="1" ht="15.75" customHeight="1" x14ac:dyDescent="0.25"/>
    <row r="566" s="9" customFormat="1" ht="15.75" customHeight="1" x14ac:dyDescent="0.25"/>
    <row r="567" s="9" customFormat="1" ht="15.75" customHeight="1" x14ac:dyDescent="0.25"/>
    <row r="568" s="9" customFormat="1" ht="15.75" customHeight="1" x14ac:dyDescent="0.25"/>
    <row r="569" s="9" customFormat="1" ht="15.75" customHeight="1" x14ac:dyDescent="0.25"/>
    <row r="570" s="9" customFormat="1" ht="15.75" customHeight="1" x14ac:dyDescent="0.25"/>
    <row r="571" s="9" customFormat="1" ht="15.75" customHeight="1" x14ac:dyDescent="0.25"/>
    <row r="572" s="9" customFormat="1" ht="15.75" customHeight="1" x14ac:dyDescent="0.25"/>
    <row r="573" s="9" customFormat="1" ht="15.75" customHeight="1" x14ac:dyDescent="0.25"/>
    <row r="574" s="9" customFormat="1" ht="15.75" customHeight="1" x14ac:dyDescent="0.25"/>
    <row r="575" s="9" customFormat="1" ht="15.75" customHeight="1" x14ac:dyDescent="0.25"/>
    <row r="576" s="9" customFormat="1" ht="15.75" customHeight="1" x14ac:dyDescent="0.25"/>
    <row r="577" s="9" customFormat="1" ht="15.75" customHeight="1" x14ac:dyDescent="0.25"/>
    <row r="578" s="9" customFormat="1" ht="15.75" customHeight="1" x14ac:dyDescent="0.25"/>
    <row r="579" s="9" customFormat="1" ht="15.75" customHeight="1" x14ac:dyDescent="0.25"/>
    <row r="580" s="9" customFormat="1" ht="15.75" customHeight="1" x14ac:dyDescent="0.25"/>
    <row r="581" s="9" customFormat="1" ht="15.75" customHeight="1" x14ac:dyDescent="0.25"/>
    <row r="582" s="9" customFormat="1" ht="15.75" customHeight="1" x14ac:dyDescent="0.25"/>
    <row r="583" s="9" customFormat="1" ht="15.75" customHeight="1" x14ac:dyDescent="0.25"/>
    <row r="584" s="9" customFormat="1" ht="15.75" customHeight="1" x14ac:dyDescent="0.25"/>
    <row r="585" s="9" customFormat="1" ht="15.75" customHeight="1" x14ac:dyDescent="0.25"/>
    <row r="586" s="9" customFormat="1" ht="15.75" customHeight="1" x14ac:dyDescent="0.25"/>
    <row r="587" s="9" customFormat="1" ht="15.75" customHeight="1" x14ac:dyDescent="0.25"/>
    <row r="588" s="9" customFormat="1" ht="15.75" customHeight="1" x14ac:dyDescent="0.25"/>
    <row r="589" s="9" customFormat="1" ht="15.75" customHeight="1" x14ac:dyDescent="0.25"/>
    <row r="590" s="9" customFormat="1" ht="15.75" customHeight="1" x14ac:dyDescent="0.25"/>
    <row r="591" s="9" customFormat="1" ht="15.75" customHeight="1" x14ac:dyDescent="0.25"/>
    <row r="592" s="9" customFormat="1" ht="15.75" customHeight="1" x14ac:dyDescent="0.25"/>
    <row r="593" s="9" customFormat="1" ht="15.75" customHeight="1" x14ac:dyDescent="0.25"/>
    <row r="594" s="9" customFormat="1" ht="15.75" customHeight="1" x14ac:dyDescent="0.25"/>
    <row r="595" s="9" customFormat="1" ht="15.75" customHeight="1" x14ac:dyDescent="0.25"/>
    <row r="596" s="9" customFormat="1" ht="15.75" customHeight="1" x14ac:dyDescent="0.25"/>
    <row r="597" s="9" customFormat="1" ht="15.75" customHeight="1" x14ac:dyDescent="0.25"/>
    <row r="598" s="9" customFormat="1" ht="15.75" customHeight="1" x14ac:dyDescent="0.25"/>
    <row r="599" s="9" customFormat="1" ht="15.75" customHeight="1" x14ac:dyDescent="0.25"/>
    <row r="600" s="9" customFormat="1" ht="15.75" customHeight="1" x14ac:dyDescent="0.25"/>
    <row r="601" s="9" customFormat="1" ht="15.75" customHeight="1" x14ac:dyDescent="0.25"/>
    <row r="602" s="9" customFormat="1" ht="15.75" customHeight="1" x14ac:dyDescent="0.25"/>
    <row r="603" s="9" customFormat="1" ht="15.75" customHeight="1" x14ac:dyDescent="0.25"/>
    <row r="604" s="9" customFormat="1" ht="15.75" customHeight="1" x14ac:dyDescent="0.25"/>
    <row r="605" s="9" customFormat="1" ht="15.75" customHeight="1" x14ac:dyDescent="0.25"/>
    <row r="606" s="9" customFormat="1" ht="15.75" customHeight="1" x14ac:dyDescent="0.25"/>
    <row r="607" s="9" customFormat="1" ht="15.75" customHeight="1" x14ac:dyDescent="0.25"/>
    <row r="608" s="9" customFormat="1" ht="15.75" customHeight="1" x14ac:dyDescent="0.25"/>
    <row r="609" s="9" customFormat="1" ht="15.75" customHeight="1" x14ac:dyDescent="0.25"/>
    <row r="610" s="9" customFormat="1" ht="15.75" customHeight="1" x14ac:dyDescent="0.25"/>
    <row r="611" s="9" customFormat="1" ht="15.75" customHeight="1" x14ac:dyDescent="0.25"/>
    <row r="612" s="9" customFormat="1" ht="15.75" customHeight="1" x14ac:dyDescent="0.25"/>
    <row r="613" s="9" customFormat="1" ht="15.75" customHeight="1" x14ac:dyDescent="0.25"/>
    <row r="614" s="9" customFormat="1" ht="15.75" customHeight="1" x14ac:dyDescent="0.25"/>
    <row r="615" s="9" customFormat="1" ht="15.75" customHeight="1" x14ac:dyDescent="0.25"/>
    <row r="616" s="9" customFormat="1" ht="15.75" customHeight="1" x14ac:dyDescent="0.25"/>
    <row r="617" s="9" customFormat="1" ht="15.75" customHeight="1" x14ac:dyDescent="0.25"/>
    <row r="618" s="9" customFormat="1" ht="15.75" customHeight="1" x14ac:dyDescent="0.25"/>
    <row r="619" s="9" customFormat="1" ht="15.75" customHeight="1" x14ac:dyDescent="0.25"/>
    <row r="620" s="9" customFormat="1" ht="15.75" customHeight="1" x14ac:dyDescent="0.25"/>
    <row r="621" s="9" customFormat="1" ht="15.75" customHeight="1" x14ac:dyDescent="0.25"/>
    <row r="622" s="9" customFormat="1" ht="15.75" customHeight="1" x14ac:dyDescent="0.25"/>
    <row r="623" s="9" customFormat="1" ht="15.75" customHeight="1" x14ac:dyDescent="0.25"/>
    <row r="624" s="9" customFormat="1" ht="15.75" customHeight="1" x14ac:dyDescent="0.25"/>
    <row r="625" s="9" customFormat="1" ht="15.75" customHeight="1" x14ac:dyDescent="0.25"/>
    <row r="626" s="9" customFormat="1" ht="15.75" customHeight="1" x14ac:dyDescent="0.25"/>
    <row r="627" s="9" customFormat="1" ht="15.75" customHeight="1" x14ac:dyDescent="0.25"/>
    <row r="628" s="9" customFormat="1" ht="15.75" customHeight="1" x14ac:dyDescent="0.25"/>
    <row r="629" s="9" customFormat="1" ht="15.75" customHeight="1" x14ac:dyDescent="0.25"/>
    <row r="630" s="9" customFormat="1" ht="15.75" customHeight="1" x14ac:dyDescent="0.25"/>
    <row r="631" s="9" customFormat="1" ht="15.75" customHeight="1" x14ac:dyDescent="0.25"/>
    <row r="632" s="9" customFormat="1" ht="15.75" customHeight="1" x14ac:dyDescent="0.25"/>
    <row r="633" s="9" customFormat="1" ht="15.75" customHeight="1" x14ac:dyDescent="0.25"/>
    <row r="634" s="9" customFormat="1" ht="15.75" customHeight="1" x14ac:dyDescent="0.25"/>
    <row r="635" s="9" customFormat="1" ht="15.75" customHeight="1" x14ac:dyDescent="0.25"/>
    <row r="636" s="9" customFormat="1" ht="15.75" customHeight="1" x14ac:dyDescent="0.25"/>
    <row r="637" s="9" customFormat="1" ht="15.75" customHeight="1" x14ac:dyDescent="0.25"/>
    <row r="638" s="9" customFormat="1" ht="15.75" customHeight="1" x14ac:dyDescent="0.25"/>
    <row r="639" s="9" customFormat="1" ht="15.75" customHeight="1" x14ac:dyDescent="0.25"/>
    <row r="640" s="9" customFormat="1" ht="15.75" customHeight="1" x14ac:dyDescent="0.25"/>
    <row r="641" s="9" customFormat="1" ht="15.75" customHeight="1" x14ac:dyDescent="0.25"/>
    <row r="642" s="9" customFormat="1" ht="15.75" customHeight="1" x14ac:dyDescent="0.25"/>
    <row r="643" s="9" customFormat="1" ht="15.75" customHeight="1" x14ac:dyDescent="0.25"/>
    <row r="644" s="9" customFormat="1" ht="15.75" customHeight="1" x14ac:dyDescent="0.25"/>
    <row r="645" s="9" customFormat="1" ht="15.75" customHeight="1" x14ac:dyDescent="0.25"/>
    <row r="646" s="9" customFormat="1" ht="15.75" customHeight="1" x14ac:dyDescent="0.25"/>
    <row r="647" s="9" customFormat="1" ht="15.75" customHeight="1" x14ac:dyDescent="0.25"/>
    <row r="648" s="9" customFormat="1" ht="15.75" customHeight="1" x14ac:dyDescent="0.25"/>
    <row r="649" s="9" customFormat="1" ht="15.75" customHeight="1" x14ac:dyDescent="0.25"/>
    <row r="650" s="9" customFormat="1" ht="15.75" customHeight="1" x14ac:dyDescent="0.25"/>
    <row r="651" s="9" customFormat="1" ht="15.75" customHeight="1" x14ac:dyDescent="0.25"/>
    <row r="652" s="9" customFormat="1" ht="15.75" customHeight="1" x14ac:dyDescent="0.25"/>
    <row r="653" s="9" customFormat="1" ht="15.75" customHeight="1" x14ac:dyDescent="0.25"/>
    <row r="654" s="9" customFormat="1" ht="15.75" customHeight="1" x14ac:dyDescent="0.25"/>
    <row r="655" s="9" customFormat="1" ht="15.75" customHeight="1" x14ac:dyDescent="0.25"/>
    <row r="656" s="9" customFormat="1" ht="15.75" customHeight="1" x14ac:dyDescent="0.25"/>
    <row r="657" s="9" customFormat="1" ht="15.75" customHeight="1" x14ac:dyDescent="0.25"/>
    <row r="658" s="9" customFormat="1" ht="15.75" customHeight="1" x14ac:dyDescent="0.25"/>
    <row r="659" s="9" customFormat="1" ht="15.75" customHeight="1" x14ac:dyDescent="0.25"/>
    <row r="660" s="9" customFormat="1" ht="15.75" customHeight="1" x14ac:dyDescent="0.25"/>
    <row r="661" s="9" customFormat="1" ht="15.75" customHeight="1" x14ac:dyDescent="0.25"/>
    <row r="662" s="9" customFormat="1" ht="15.75" customHeight="1" x14ac:dyDescent="0.25"/>
    <row r="663" s="9" customFormat="1" ht="15.75" customHeight="1" x14ac:dyDescent="0.25"/>
    <row r="664" s="9" customFormat="1" ht="15.75" customHeight="1" x14ac:dyDescent="0.25"/>
    <row r="665" s="9" customFormat="1" ht="15.75" customHeight="1" x14ac:dyDescent="0.25"/>
    <row r="666" s="9" customFormat="1" ht="15.75" customHeight="1" x14ac:dyDescent="0.25"/>
    <row r="667" s="9" customFormat="1" ht="15.75" customHeight="1" x14ac:dyDescent="0.25"/>
    <row r="668" s="9" customFormat="1" ht="15.75" customHeight="1" x14ac:dyDescent="0.25"/>
    <row r="669" s="9" customFormat="1" ht="15.75" customHeight="1" x14ac:dyDescent="0.25"/>
    <row r="670" s="9" customFormat="1" ht="15.75" customHeight="1" x14ac:dyDescent="0.25"/>
    <row r="671" s="9" customFormat="1" ht="15.75" customHeight="1" x14ac:dyDescent="0.25"/>
    <row r="672" s="9" customFormat="1" ht="15.75" customHeight="1" x14ac:dyDescent="0.25"/>
    <row r="673" s="9" customFormat="1" ht="15.75" customHeight="1" x14ac:dyDescent="0.25"/>
    <row r="674" s="9" customFormat="1" ht="15.75" customHeight="1" x14ac:dyDescent="0.25"/>
    <row r="675" s="9" customFormat="1" ht="15.75" customHeight="1" x14ac:dyDescent="0.25"/>
    <row r="676" s="9" customFormat="1" ht="15.75" customHeight="1" x14ac:dyDescent="0.25"/>
    <row r="677" s="9" customFormat="1" ht="15.75" customHeight="1" x14ac:dyDescent="0.25"/>
    <row r="678" s="9" customFormat="1" ht="15.75" customHeight="1" x14ac:dyDescent="0.25"/>
    <row r="679" s="9" customFormat="1" ht="15.75" customHeight="1" x14ac:dyDescent="0.25"/>
    <row r="680" s="9" customFormat="1" ht="15.75" customHeight="1" x14ac:dyDescent="0.25"/>
    <row r="681" s="9" customFormat="1" ht="15.75" customHeight="1" x14ac:dyDescent="0.25"/>
    <row r="682" s="9" customFormat="1" ht="15.75" customHeight="1" x14ac:dyDescent="0.25"/>
    <row r="683" s="9" customFormat="1" ht="15.75" customHeight="1" x14ac:dyDescent="0.25"/>
    <row r="684" s="9" customFormat="1" ht="15.75" customHeight="1" x14ac:dyDescent="0.25"/>
    <row r="685" s="9" customFormat="1" ht="15.75" customHeight="1" x14ac:dyDescent="0.25"/>
    <row r="686" s="9" customFormat="1" ht="15.75" customHeight="1" x14ac:dyDescent="0.25"/>
    <row r="687" s="9" customFormat="1" ht="15.75" customHeight="1" x14ac:dyDescent="0.25"/>
    <row r="688" s="9" customFormat="1" ht="15.75" customHeight="1" x14ac:dyDescent="0.25"/>
    <row r="689" s="9" customFormat="1" ht="15.75" customHeight="1" x14ac:dyDescent="0.25"/>
    <row r="690" s="9" customFormat="1" ht="15.75" customHeight="1" x14ac:dyDescent="0.25"/>
    <row r="691" s="9" customFormat="1" ht="15.75" customHeight="1" x14ac:dyDescent="0.25"/>
    <row r="692" s="9" customFormat="1" ht="15.75" customHeight="1" x14ac:dyDescent="0.25"/>
    <row r="693" s="9" customFormat="1" ht="15.75" customHeight="1" x14ac:dyDescent="0.25"/>
    <row r="694" s="9" customFormat="1" ht="15.75" customHeight="1" x14ac:dyDescent="0.25"/>
    <row r="695" s="9" customFormat="1" ht="15.75" customHeight="1" x14ac:dyDescent="0.25"/>
    <row r="696" s="9" customFormat="1" ht="15.75" customHeight="1" x14ac:dyDescent="0.25"/>
    <row r="697" s="9" customFormat="1" ht="15.75" customHeight="1" x14ac:dyDescent="0.25"/>
    <row r="698" s="9" customFormat="1" ht="15.75" customHeight="1" x14ac:dyDescent="0.25"/>
    <row r="699" s="9" customFormat="1" ht="15.75" customHeight="1" x14ac:dyDescent="0.25"/>
    <row r="700" s="9" customFormat="1" ht="15.75" customHeight="1" x14ac:dyDescent="0.25"/>
    <row r="701" s="9" customFormat="1" ht="15.75" customHeight="1" x14ac:dyDescent="0.25"/>
    <row r="702" s="9" customFormat="1" ht="15.75" customHeight="1" x14ac:dyDescent="0.25"/>
    <row r="703" s="9" customFormat="1" ht="15.75" customHeight="1" x14ac:dyDescent="0.25"/>
    <row r="704" s="9" customFormat="1" ht="15.75" customHeight="1" x14ac:dyDescent="0.25"/>
    <row r="705" s="9" customFormat="1" ht="15.75" customHeight="1" x14ac:dyDescent="0.25"/>
    <row r="706" s="9" customFormat="1" ht="15.75" customHeight="1" x14ac:dyDescent="0.25"/>
    <row r="707" s="9" customFormat="1" ht="15.75" customHeight="1" x14ac:dyDescent="0.25"/>
    <row r="708" s="9" customFormat="1" ht="15.75" customHeight="1" x14ac:dyDescent="0.25"/>
    <row r="709" s="9" customFormat="1" ht="15.75" customHeight="1" x14ac:dyDescent="0.25"/>
    <row r="710" s="9" customFormat="1" ht="15.75" customHeight="1" x14ac:dyDescent="0.25"/>
    <row r="711" s="9" customFormat="1" ht="15.75" customHeight="1" x14ac:dyDescent="0.25"/>
    <row r="712" s="9" customFormat="1" ht="15.75" customHeight="1" x14ac:dyDescent="0.25"/>
    <row r="713" s="9" customFormat="1" ht="15.75" customHeight="1" x14ac:dyDescent="0.25"/>
    <row r="714" s="9" customFormat="1" ht="15.75" customHeight="1" x14ac:dyDescent="0.25"/>
    <row r="715" s="9" customFormat="1" ht="15.75" customHeight="1" x14ac:dyDescent="0.25"/>
    <row r="716" s="9" customFormat="1" ht="15.75" customHeight="1" x14ac:dyDescent="0.25"/>
    <row r="717" s="9" customFormat="1" ht="15.75" customHeight="1" x14ac:dyDescent="0.25"/>
    <row r="718" s="9" customFormat="1" ht="15.75" customHeight="1" x14ac:dyDescent="0.25"/>
    <row r="719" s="9" customFormat="1" ht="15.75" customHeight="1" x14ac:dyDescent="0.25"/>
    <row r="720" s="9" customFormat="1" ht="15.75" customHeight="1" x14ac:dyDescent="0.25"/>
    <row r="721" s="9" customFormat="1" ht="15.75" customHeight="1" x14ac:dyDescent="0.25"/>
    <row r="722" s="9" customFormat="1" ht="15.75" customHeight="1" x14ac:dyDescent="0.25"/>
    <row r="723" s="9" customFormat="1" ht="15.75" customHeight="1" x14ac:dyDescent="0.25"/>
    <row r="724" s="9" customFormat="1" ht="15.75" customHeight="1" x14ac:dyDescent="0.25"/>
    <row r="725" s="9" customFormat="1" ht="15.75" customHeight="1" x14ac:dyDescent="0.25"/>
    <row r="726" s="9" customFormat="1" ht="15.75" customHeight="1" x14ac:dyDescent="0.25"/>
    <row r="727" s="9" customFormat="1" ht="15.75" customHeight="1" x14ac:dyDescent="0.25"/>
    <row r="728" s="9" customFormat="1" ht="15.75" customHeight="1" x14ac:dyDescent="0.25"/>
    <row r="729" s="9" customFormat="1" ht="15.75" customHeight="1" x14ac:dyDescent="0.25"/>
    <row r="730" s="9" customFormat="1" ht="15.75" customHeight="1" x14ac:dyDescent="0.25"/>
    <row r="731" s="9" customFormat="1" ht="15.75" customHeight="1" x14ac:dyDescent="0.25"/>
    <row r="732" s="9" customFormat="1" ht="15.75" customHeight="1" x14ac:dyDescent="0.25"/>
    <row r="733" s="9" customFormat="1" ht="15.75" customHeight="1" x14ac:dyDescent="0.25"/>
    <row r="734" s="9" customFormat="1" ht="15.75" customHeight="1" x14ac:dyDescent="0.25"/>
    <row r="735" s="9" customFormat="1" ht="15.75" customHeight="1" x14ac:dyDescent="0.25"/>
    <row r="736" s="9" customFormat="1" ht="15.75" customHeight="1" x14ac:dyDescent="0.25"/>
    <row r="737" s="9" customFormat="1" ht="15.75" customHeight="1" x14ac:dyDescent="0.25"/>
    <row r="738" s="9" customFormat="1" ht="15.75" customHeight="1" x14ac:dyDescent="0.25"/>
    <row r="739" s="9" customFormat="1" ht="15.75" customHeight="1" x14ac:dyDescent="0.25"/>
    <row r="740" s="9" customFormat="1" ht="15.75" customHeight="1" x14ac:dyDescent="0.25"/>
    <row r="741" s="9" customFormat="1" ht="15.75" customHeight="1" x14ac:dyDescent="0.25"/>
    <row r="742" s="9" customFormat="1" ht="15.75" customHeight="1" x14ac:dyDescent="0.25"/>
    <row r="743" s="9" customFormat="1" ht="15.75" customHeight="1" x14ac:dyDescent="0.25"/>
    <row r="744" s="9" customFormat="1" ht="15.75" customHeight="1" x14ac:dyDescent="0.25"/>
    <row r="745" s="9" customFormat="1" ht="15.75" customHeight="1" x14ac:dyDescent="0.25"/>
    <row r="746" s="9" customFormat="1" ht="15.75" customHeight="1" x14ac:dyDescent="0.25"/>
    <row r="747" s="9" customFormat="1" ht="15.75" customHeight="1" x14ac:dyDescent="0.25"/>
    <row r="748" s="9" customFormat="1" ht="15.75" customHeight="1" x14ac:dyDescent="0.25"/>
    <row r="749" s="9" customFormat="1" ht="15.75" customHeight="1" x14ac:dyDescent="0.25"/>
    <row r="750" s="9" customFormat="1" ht="15.75" customHeight="1" x14ac:dyDescent="0.25"/>
    <row r="751" s="9" customFormat="1" ht="15.75" customHeight="1" x14ac:dyDescent="0.25"/>
    <row r="752" s="9" customFormat="1" ht="15.75" customHeight="1" x14ac:dyDescent="0.25"/>
    <row r="753" s="9" customFormat="1" ht="15.75" customHeight="1" x14ac:dyDescent="0.25"/>
    <row r="754" s="9" customFormat="1" ht="15.75" customHeight="1" x14ac:dyDescent="0.25"/>
    <row r="755" s="9" customFormat="1" ht="15.75" customHeight="1" x14ac:dyDescent="0.25"/>
    <row r="756" s="9" customFormat="1" ht="15.75" customHeight="1" x14ac:dyDescent="0.25"/>
    <row r="757" s="9" customFormat="1" ht="15.75" customHeight="1" x14ac:dyDescent="0.25"/>
    <row r="758" s="9" customFormat="1" ht="15.75" customHeight="1" x14ac:dyDescent="0.25"/>
    <row r="759" s="9" customFormat="1" ht="15.75" customHeight="1" x14ac:dyDescent="0.25"/>
    <row r="760" s="9" customFormat="1" ht="15.75" customHeight="1" x14ac:dyDescent="0.25"/>
    <row r="761" s="9" customFormat="1" ht="15.75" customHeight="1" x14ac:dyDescent="0.25"/>
    <row r="762" s="9" customFormat="1" ht="15.75" customHeight="1" x14ac:dyDescent="0.25"/>
    <row r="763" s="9" customFormat="1" ht="15.75" customHeight="1" x14ac:dyDescent="0.25"/>
    <row r="764" s="9" customFormat="1" ht="15.75" customHeight="1" x14ac:dyDescent="0.25"/>
    <row r="765" s="9" customFormat="1" ht="15.75" customHeight="1" x14ac:dyDescent="0.25"/>
    <row r="766" s="9" customFormat="1" ht="15.75" customHeight="1" x14ac:dyDescent="0.25"/>
    <row r="767" s="9" customFormat="1" ht="15.75" customHeight="1" x14ac:dyDescent="0.25"/>
    <row r="768" s="9" customFormat="1" ht="15.75" customHeight="1" x14ac:dyDescent="0.25"/>
    <row r="769" s="9" customFormat="1" ht="15.75" customHeight="1" x14ac:dyDescent="0.25"/>
    <row r="770" s="9" customFormat="1" ht="15.75" customHeight="1" x14ac:dyDescent="0.25"/>
    <row r="771" s="9" customFormat="1" ht="15.75" customHeight="1" x14ac:dyDescent="0.25"/>
    <row r="772" s="9" customFormat="1" ht="15.75" customHeight="1" x14ac:dyDescent="0.25"/>
    <row r="773" s="9" customFormat="1" ht="15.75" customHeight="1" x14ac:dyDescent="0.25"/>
    <row r="774" s="9" customFormat="1" ht="15.75" customHeight="1" x14ac:dyDescent="0.25"/>
    <row r="775" s="9" customFormat="1" ht="15.75" customHeight="1" x14ac:dyDescent="0.25"/>
    <row r="776" s="9" customFormat="1" ht="15.75" customHeight="1" x14ac:dyDescent="0.25"/>
    <row r="777" s="9" customFormat="1" ht="15.75" customHeight="1" x14ac:dyDescent="0.25"/>
    <row r="778" s="9" customFormat="1" ht="15.75" customHeight="1" x14ac:dyDescent="0.25"/>
    <row r="779" s="9" customFormat="1" ht="15.75" customHeight="1" x14ac:dyDescent="0.25"/>
    <row r="780" s="9" customFormat="1" ht="15.75" customHeight="1" x14ac:dyDescent="0.25"/>
    <row r="781" s="9" customFormat="1" ht="15.75" customHeight="1" x14ac:dyDescent="0.25"/>
    <row r="782" s="9" customFormat="1" ht="15.75" customHeight="1" x14ac:dyDescent="0.25"/>
    <row r="783" s="9" customFormat="1" ht="15.75" customHeight="1" x14ac:dyDescent="0.25"/>
    <row r="784" s="9" customFormat="1" ht="15.75" customHeight="1" x14ac:dyDescent="0.25"/>
    <row r="785" s="9" customFormat="1" ht="15.75" customHeight="1" x14ac:dyDescent="0.25"/>
    <row r="786" s="9" customFormat="1" ht="15.75" customHeight="1" x14ac:dyDescent="0.25"/>
    <row r="787" s="9" customFormat="1" ht="15.75" customHeight="1" x14ac:dyDescent="0.25"/>
    <row r="788" s="9" customFormat="1" ht="15.75" customHeight="1" x14ac:dyDescent="0.25"/>
    <row r="789" s="9" customFormat="1" ht="15.75" customHeight="1" x14ac:dyDescent="0.25"/>
    <row r="790" s="9" customFormat="1" ht="15.75" customHeight="1" x14ac:dyDescent="0.25"/>
    <row r="791" s="9" customFormat="1" ht="15.75" customHeight="1" x14ac:dyDescent="0.25"/>
    <row r="792" s="9" customFormat="1" ht="15.75" customHeight="1" x14ac:dyDescent="0.25"/>
    <row r="793" s="9" customFormat="1" ht="15.75" customHeight="1" x14ac:dyDescent="0.25"/>
    <row r="794" s="9" customFormat="1" ht="15.75" customHeight="1" x14ac:dyDescent="0.25"/>
    <row r="795" s="9" customFormat="1" ht="15.75" customHeight="1" x14ac:dyDescent="0.25"/>
    <row r="796" s="9" customFormat="1" ht="15.75" customHeight="1" x14ac:dyDescent="0.25"/>
    <row r="797" s="9" customFormat="1" ht="15.75" customHeight="1" x14ac:dyDescent="0.25"/>
    <row r="798" s="9" customFormat="1" ht="15.75" customHeight="1" x14ac:dyDescent="0.25"/>
    <row r="799" s="9" customFormat="1" ht="15.75" customHeight="1" x14ac:dyDescent="0.25"/>
    <row r="800" s="9" customFormat="1" ht="15.75" customHeight="1" x14ac:dyDescent="0.25"/>
    <row r="801" s="9" customFormat="1" ht="15.75" customHeight="1" x14ac:dyDescent="0.25"/>
    <row r="802" s="9" customFormat="1" ht="15.75" customHeight="1" x14ac:dyDescent="0.25"/>
    <row r="803" s="9" customFormat="1" ht="15.75" customHeight="1" x14ac:dyDescent="0.25"/>
    <row r="804" s="9" customFormat="1" ht="15.75" customHeight="1" x14ac:dyDescent="0.25"/>
    <row r="805" s="9" customFormat="1" ht="15.75" customHeight="1" x14ac:dyDescent="0.25"/>
    <row r="806" s="9" customFormat="1" ht="15.75" customHeight="1" x14ac:dyDescent="0.25"/>
    <row r="807" s="9" customFormat="1" ht="15.75" customHeight="1" x14ac:dyDescent="0.25"/>
    <row r="808" s="9" customFormat="1" ht="15.75" customHeight="1" x14ac:dyDescent="0.25"/>
    <row r="809" s="9" customFormat="1" ht="15.75" customHeight="1" x14ac:dyDescent="0.25"/>
    <row r="810" s="9" customFormat="1" ht="15.75" customHeight="1" x14ac:dyDescent="0.25"/>
    <row r="811" s="9" customFormat="1" ht="15.75" customHeight="1" x14ac:dyDescent="0.25"/>
    <row r="812" s="9" customFormat="1" ht="15.75" customHeight="1" x14ac:dyDescent="0.25"/>
    <row r="813" s="9" customFormat="1" ht="15.75" customHeight="1" x14ac:dyDescent="0.25"/>
    <row r="814" s="9" customFormat="1" ht="15.75" customHeight="1" x14ac:dyDescent="0.25"/>
    <row r="815" s="9" customFormat="1" ht="15.75" customHeight="1" x14ac:dyDescent="0.25"/>
    <row r="816" s="9" customFormat="1" ht="15.75" customHeight="1" x14ac:dyDescent="0.25"/>
    <row r="817" s="9" customFormat="1" ht="15.75" customHeight="1" x14ac:dyDescent="0.25"/>
    <row r="818" s="9" customFormat="1" ht="15.75" customHeight="1" x14ac:dyDescent="0.25"/>
    <row r="819" s="9" customFormat="1" ht="15.75" customHeight="1" x14ac:dyDescent="0.25"/>
    <row r="820" s="9" customFormat="1" ht="15.75" customHeight="1" x14ac:dyDescent="0.25"/>
    <row r="821" s="9" customFormat="1" ht="15.75" customHeight="1" x14ac:dyDescent="0.25"/>
    <row r="822" s="9" customFormat="1" ht="15.75" customHeight="1" x14ac:dyDescent="0.25"/>
    <row r="823" s="9" customFormat="1" ht="15.75" customHeight="1" x14ac:dyDescent="0.25"/>
    <row r="824" s="9" customFormat="1" ht="15.75" customHeight="1" x14ac:dyDescent="0.25"/>
    <row r="825" s="9" customFormat="1" ht="15.75" customHeight="1" x14ac:dyDescent="0.25"/>
    <row r="826" s="9" customFormat="1" ht="15.75" customHeight="1" x14ac:dyDescent="0.25"/>
    <row r="827" s="9" customFormat="1" ht="15.75" customHeight="1" x14ac:dyDescent="0.25"/>
    <row r="828" s="9" customFormat="1" ht="15.75" customHeight="1" x14ac:dyDescent="0.25"/>
    <row r="829" s="9" customFormat="1" ht="15.75" customHeight="1" x14ac:dyDescent="0.25"/>
    <row r="830" s="9" customFormat="1" ht="15.75" customHeight="1" x14ac:dyDescent="0.25"/>
    <row r="831" s="9" customFormat="1" ht="15.75" customHeight="1" x14ac:dyDescent="0.25"/>
    <row r="832" s="9" customFormat="1" ht="15.75" customHeight="1" x14ac:dyDescent="0.25"/>
    <row r="833" s="9" customFormat="1" ht="15.75" customHeight="1" x14ac:dyDescent="0.25"/>
    <row r="834" s="9" customFormat="1" ht="15.75" customHeight="1" x14ac:dyDescent="0.25"/>
    <row r="835" s="9" customFormat="1" ht="15.75" customHeight="1" x14ac:dyDescent="0.25"/>
    <row r="836" s="9" customFormat="1" ht="15.75" customHeight="1" x14ac:dyDescent="0.25"/>
    <row r="837" s="9" customFormat="1" ht="15.75" customHeight="1" x14ac:dyDescent="0.25"/>
    <row r="838" s="9" customFormat="1" ht="15.75" customHeight="1" x14ac:dyDescent="0.25"/>
    <row r="839" s="9" customFormat="1" ht="15.75" customHeight="1" x14ac:dyDescent="0.25"/>
    <row r="840" s="9" customFormat="1" ht="15.75" customHeight="1" x14ac:dyDescent="0.25"/>
    <row r="841" s="9" customFormat="1" ht="15.75" customHeight="1" x14ac:dyDescent="0.25"/>
    <row r="842" s="9" customFormat="1" ht="15.75" customHeight="1" x14ac:dyDescent="0.25"/>
    <row r="843" s="9" customFormat="1" ht="15.75" customHeight="1" x14ac:dyDescent="0.25"/>
    <row r="844" s="9" customFormat="1" ht="15.75" customHeight="1" x14ac:dyDescent="0.25"/>
    <row r="845" s="9" customFormat="1" ht="15.75" customHeight="1" x14ac:dyDescent="0.25"/>
    <row r="846" s="9" customFormat="1" ht="15.75" customHeight="1" x14ac:dyDescent="0.25"/>
    <row r="847" s="9" customFormat="1" ht="15.75" customHeight="1" x14ac:dyDescent="0.25"/>
    <row r="848" s="9" customFormat="1" ht="15.75" customHeight="1" x14ac:dyDescent="0.25"/>
    <row r="849" s="9" customFormat="1" ht="15.75" customHeight="1" x14ac:dyDescent="0.25"/>
    <row r="850" s="9" customFormat="1" ht="15.75" customHeight="1" x14ac:dyDescent="0.25"/>
    <row r="851" s="9" customFormat="1" ht="15.75" customHeight="1" x14ac:dyDescent="0.25"/>
    <row r="852" s="9" customFormat="1" ht="15.75" customHeight="1" x14ac:dyDescent="0.25"/>
    <row r="853" s="9" customFormat="1" ht="15.75" customHeight="1" x14ac:dyDescent="0.25"/>
    <row r="854" s="9" customFormat="1" ht="15.75" customHeight="1" x14ac:dyDescent="0.25"/>
    <row r="855" s="9" customFormat="1" ht="15.75" customHeight="1" x14ac:dyDescent="0.25"/>
    <row r="856" s="9" customFormat="1" ht="15.75" customHeight="1" x14ac:dyDescent="0.25"/>
    <row r="857" s="9" customFormat="1" ht="15.75" customHeight="1" x14ac:dyDescent="0.25"/>
    <row r="858" s="9" customFormat="1" ht="15.75" customHeight="1" x14ac:dyDescent="0.25"/>
    <row r="859" s="9" customFormat="1" ht="15.75" customHeight="1" x14ac:dyDescent="0.25"/>
    <row r="860" s="9" customFormat="1" ht="15.75" customHeight="1" x14ac:dyDescent="0.25"/>
    <row r="861" s="9" customFormat="1" ht="15.75" customHeight="1" x14ac:dyDescent="0.25"/>
    <row r="862" s="9" customFormat="1" ht="15.75" customHeight="1" x14ac:dyDescent="0.25"/>
    <row r="863" s="9" customFormat="1" ht="15.75" customHeight="1" x14ac:dyDescent="0.25"/>
    <row r="864" s="9" customFormat="1" ht="15.75" customHeight="1" x14ac:dyDescent="0.25"/>
    <row r="865" s="9" customFormat="1" ht="15.75" customHeight="1" x14ac:dyDescent="0.25"/>
    <row r="866" s="9" customFormat="1" ht="15.75" customHeight="1" x14ac:dyDescent="0.25"/>
    <row r="867" s="9" customFormat="1" ht="15.75" customHeight="1" x14ac:dyDescent="0.25"/>
    <row r="868" s="9" customFormat="1" ht="15.75" customHeight="1" x14ac:dyDescent="0.25"/>
    <row r="869" s="9" customFormat="1" ht="15.75" customHeight="1" x14ac:dyDescent="0.25"/>
    <row r="870" s="9" customFormat="1" ht="15.75" customHeight="1" x14ac:dyDescent="0.25"/>
    <row r="871" s="9" customFormat="1" ht="15.75" customHeight="1" x14ac:dyDescent="0.25"/>
    <row r="872" s="9" customFormat="1" ht="15.75" customHeight="1" x14ac:dyDescent="0.25"/>
    <row r="873" s="9" customFormat="1" ht="15.75" customHeight="1" x14ac:dyDescent="0.25"/>
    <row r="874" s="9" customFormat="1" ht="15.75" customHeight="1" x14ac:dyDescent="0.25"/>
    <row r="875" s="9" customFormat="1" ht="15.75" customHeight="1" x14ac:dyDescent="0.25"/>
    <row r="876" s="9" customFormat="1" ht="15.75" customHeight="1" x14ac:dyDescent="0.25"/>
    <row r="877" s="9" customFormat="1" ht="15.75" customHeight="1" x14ac:dyDescent="0.25"/>
    <row r="878" s="9" customFormat="1" ht="15.75" customHeight="1" x14ac:dyDescent="0.25"/>
    <row r="879" s="9" customFormat="1" ht="15.75" customHeight="1" x14ac:dyDescent="0.25"/>
    <row r="880" s="9" customFormat="1" ht="15.75" customHeight="1" x14ac:dyDescent="0.25"/>
    <row r="881" s="9" customFormat="1" ht="15.75" customHeight="1" x14ac:dyDescent="0.25"/>
    <row r="882" s="9" customFormat="1" ht="15.75" customHeight="1" x14ac:dyDescent="0.25"/>
    <row r="883" s="9" customFormat="1" ht="15.75" customHeight="1" x14ac:dyDescent="0.25"/>
    <row r="884" s="9" customFormat="1" ht="15.75" customHeight="1" x14ac:dyDescent="0.25"/>
    <row r="885" s="9" customFormat="1" ht="15.75" customHeight="1" x14ac:dyDescent="0.25"/>
    <row r="886" s="9" customFormat="1" ht="15.75" customHeight="1" x14ac:dyDescent="0.25"/>
    <row r="887" s="9" customFormat="1" ht="15.75" customHeight="1" x14ac:dyDescent="0.25"/>
    <row r="888" s="9" customFormat="1" ht="15.75" customHeight="1" x14ac:dyDescent="0.25"/>
    <row r="889" s="9" customFormat="1" ht="15.75" customHeight="1" x14ac:dyDescent="0.25"/>
    <row r="890" s="9" customFormat="1" ht="15.75" customHeight="1" x14ac:dyDescent="0.25"/>
    <row r="891" s="9" customFormat="1" ht="15.75" customHeight="1" x14ac:dyDescent="0.25"/>
    <row r="892" s="9" customFormat="1" ht="15.75" customHeight="1" x14ac:dyDescent="0.25"/>
    <row r="893" s="9" customFormat="1" ht="15.75" customHeight="1" x14ac:dyDescent="0.25"/>
    <row r="894" s="9" customFormat="1" ht="15.75" customHeight="1" x14ac:dyDescent="0.25"/>
    <row r="895" s="9" customFormat="1" ht="15.75" customHeight="1" x14ac:dyDescent="0.25"/>
    <row r="896" s="9" customFormat="1" ht="15.75" customHeight="1" x14ac:dyDescent="0.25"/>
    <row r="897" s="9" customFormat="1" ht="15.75" customHeight="1" x14ac:dyDescent="0.25"/>
    <row r="898" s="9" customFormat="1" ht="15.75" customHeight="1" x14ac:dyDescent="0.25"/>
    <row r="899" s="9" customFormat="1" ht="15.75" customHeight="1" x14ac:dyDescent="0.25"/>
    <row r="900" s="9" customFormat="1" ht="15.75" customHeight="1" x14ac:dyDescent="0.25"/>
    <row r="901" s="9" customFormat="1" ht="15.75" customHeight="1" x14ac:dyDescent="0.25"/>
    <row r="902" s="9" customFormat="1" ht="15.75" customHeight="1" x14ac:dyDescent="0.25"/>
    <row r="903" s="9" customFormat="1" ht="15.75" customHeight="1" x14ac:dyDescent="0.25"/>
    <row r="904" s="9" customFormat="1" ht="15.75" customHeight="1" x14ac:dyDescent="0.25"/>
    <row r="905" s="9" customFormat="1" ht="15.75" customHeight="1" x14ac:dyDescent="0.25"/>
    <row r="906" s="9" customFormat="1" ht="15.75" customHeight="1" x14ac:dyDescent="0.25"/>
    <row r="907" s="9" customFormat="1" ht="15.75" customHeight="1" x14ac:dyDescent="0.25"/>
    <row r="908" s="9" customFormat="1" ht="15.75" customHeight="1" x14ac:dyDescent="0.25"/>
    <row r="909" s="9" customFormat="1" ht="15.75" customHeight="1" x14ac:dyDescent="0.25"/>
    <row r="910" s="9" customFormat="1" ht="15.75" customHeight="1" x14ac:dyDescent="0.25"/>
    <row r="911" s="9" customFormat="1" ht="15.75" customHeight="1" x14ac:dyDescent="0.25"/>
    <row r="912" s="9" customFormat="1" ht="15.75" customHeight="1" x14ac:dyDescent="0.25"/>
    <row r="913" s="9" customFormat="1" ht="15.75" customHeight="1" x14ac:dyDescent="0.25"/>
    <row r="914" s="9" customFormat="1" ht="15.75" customHeight="1" x14ac:dyDescent="0.25"/>
    <row r="915" s="9" customFormat="1" ht="15.75" customHeight="1" x14ac:dyDescent="0.25"/>
    <row r="916" s="9" customFormat="1" ht="15.75" customHeight="1" x14ac:dyDescent="0.25"/>
    <row r="917" s="9" customFormat="1" ht="15.75" customHeight="1" x14ac:dyDescent="0.25"/>
    <row r="918" s="9" customFormat="1" ht="15.75" customHeight="1" x14ac:dyDescent="0.25"/>
    <row r="919" s="9" customFormat="1" ht="15.75" customHeight="1" x14ac:dyDescent="0.25"/>
    <row r="920" s="9" customFormat="1" ht="15.75" customHeight="1" x14ac:dyDescent="0.25"/>
    <row r="921" s="9" customFormat="1" ht="15.75" customHeight="1" x14ac:dyDescent="0.25"/>
    <row r="922" s="9" customFormat="1" ht="15.75" customHeight="1" x14ac:dyDescent="0.25"/>
    <row r="923" s="9" customFormat="1" ht="15.75" customHeight="1" x14ac:dyDescent="0.25"/>
    <row r="924" s="9" customFormat="1" ht="15.75" customHeight="1" x14ac:dyDescent="0.25"/>
    <row r="925" s="9" customFormat="1" ht="15.75" customHeight="1" x14ac:dyDescent="0.25"/>
    <row r="926" s="9" customFormat="1" ht="15.75" customHeight="1" x14ac:dyDescent="0.25"/>
    <row r="927" s="9" customFormat="1" ht="15.75" customHeight="1" x14ac:dyDescent="0.25"/>
    <row r="928" s="9" customFormat="1" ht="15.75" customHeight="1" x14ac:dyDescent="0.25"/>
    <row r="929" s="9" customFormat="1" ht="15.75" customHeight="1" x14ac:dyDescent="0.25"/>
    <row r="930" s="9" customFormat="1" ht="15.75" customHeight="1" x14ac:dyDescent="0.25"/>
    <row r="931" s="9" customFormat="1" ht="15.75" customHeight="1" x14ac:dyDescent="0.25"/>
    <row r="932" s="9" customFormat="1" ht="15.75" customHeight="1" x14ac:dyDescent="0.25"/>
    <row r="933" s="9" customFormat="1" ht="15.75" customHeight="1" x14ac:dyDescent="0.25"/>
    <row r="934" s="9" customFormat="1" ht="15.75" customHeight="1" x14ac:dyDescent="0.25"/>
    <row r="935" s="9" customFormat="1" ht="15.75" customHeight="1" x14ac:dyDescent="0.25"/>
    <row r="936" s="9" customFormat="1" ht="15.75" customHeight="1" x14ac:dyDescent="0.25"/>
    <row r="937" s="9" customFormat="1" ht="15.75" customHeight="1" x14ac:dyDescent="0.25"/>
    <row r="938" s="9" customFormat="1" ht="15.75" customHeight="1" x14ac:dyDescent="0.25"/>
    <row r="939" s="9" customFormat="1" ht="15.75" customHeight="1" x14ac:dyDescent="0.25"/>
    <row r="940" s="9" customFormat="1" ht="15.75" customHeight="1" x14ac:dyDescent="0.25"/>
    <row r="941" s="9" customFormat="1" ht="15.75" customHeight="1" x14ac:dyDescent="0.25"/>
    <row r="942" s="9" customFormat="1" ht="15.75" customHeight="1" x14ac:dyDescent="0.25"/>
    <row r="943" s="9" customFormat="1" ht="15.75" customHeight="1" x14ac:dyDescent="0.25"/>
    <row r="944" s="9" customFormat="1" ht="15.75" customHeight="1" x14ac:dyDescent="0.25"/>
    <row r="945" s="9" customFormat="1" ht="15.75" customHeight="1" x14ac:dyDescent="0.25"/>
    <row r="946" s="9" customFormat="1" ht="15.75" customHeight="1" x14ac:dyDescent="0.25"/>
    <row r="947" s="9" customFormat="1" ht="15.75" customHeight="1" x14ac:dyDescent="0.25"/>
    <row r="948" s="9" customFormat="1" ht="15.75" customHeight="1" x14ac:dyDescent="0.25"/>
    <row r="949" s="9" customFormat="1" ht="15.75" customHeight="1" x14ac:dyDescent="0.25"/>
    <row r="950" s="9" customFormat="1" ht="15.75" customHeight="1" x14ac:dyDescent="0.25"/>
    <row r="951" s="9" customFormat="1" ht="15.75" customHeight="1" x14ac:dyDescent="0.25"/>
    <row r="952" s="9" customFormat="1" ht="15.75" customHeight="1" x14ac:dyDescent="0.25"/>
    <row r="953" s="9" customFormat="1" ht="15.75" customHeight="1" x14ac:dyDescent="0.25"/>
    <row r="954" s="9" customFormat="1" ht="15.75" customHeight="1" x14ac:dyDescent="0.25"/>
    <row r="955" s="9" customFormat="1" ht="15.75" customHeight="1" x14ac:dyDescent="0.25"/>
    <row r="956" s="9" customFormat="1" ht="15.75" customHeight="1" x14ac:dyDescent="0.25"/>
    <row r="957" s="9" customFormat="1" ht="15.75" customHeight="1" x14ac:dyDescent="0.25"/>
    <row r="958" s="9" customFormat="1" ht="15.75" customHeight="1" x14ac:dyDescent="0.25"/>
    <row r="959" s="9" customFormat="1" ht="15.75" customHeight="1" x14ac:dyDescent="0.25"/>
    <row r="960" s="9" customFormat="1" ht="15.75" customHeight="1" x14ac:dyDescent="0.25"/>
    <row r="961" s="9" customFormat="1" ht="15.75" customHeight="1" x14ac:dyDescent="0.25"/>
    <row r="962" s="9" customFormat="1" ht="15.75" customHeight="1" x14ac:dyDescent="0.25"/>
    <row r="963" s="9" customFormat="1" ht="15.75" customHeight="1" x14ac:dyDescent="0.25"/>
    <row r="964" s="9" customFormat="1" ht="15.75" customHeight="1" x14ac:dyDescent="0.25"/>
    <row r="965" s="9" customFormat="1" ht="15.75" customHeight="1" x14ac:dyDescent="0.25"/>
    <row r="966" s="9" customFormat="1" ht="15.75" customHeight="1" x14ac:dyDescent="0.25"/>
    <row r="967" s="9" customFormat="1" ht="15.75" customHeight="1" x14ac:dyDescent="0.25"/>
    <row r="968" s="9" customFormat="1" ht="15.75" customHeight="1" x14ac:dyDescent="0.25"/>
    <row r="969" s="9" customFormat="1" ht="15.75" customHeight="1" x14ac:dyDescent="0.25"/>
    <row r="970" s="9" customFormat="1" ht="15.75" customHeight="1" x14ac:dyDescent="0.25"/>
    <row r="971" s="9" customFormat="1" ht="15.75" customHeight="1" x14ac:dyDescent="0.25"/>
    <row r="972" s="9" customFormat="1" ht="15.75" customHeight="1" x14ac:dyDescent="0.25"/>
    <row r="973" s="9" customFormat="1" ht="15.75" customHeight="1" x14ac:dyDescent="0.25"/>
    <row r="974" s="9" customFormat="1" ht="15.75" customHeight="1" x14ac:dyDescent="0.25"/>
    <row r="975" s="9" customFormat="1" ht="15.75" customHeight="1" x14ac:dyDescent="0.25"/>
    <row r="976" s="9" customFormat="1" ht="15.75" customHeight="1" x14ac:dyDescent="0.25"/>
    <row r="977" s="9" customFormat="1" ht="15.75" customHeight="1" x14ac:dyDescent="0.25"/>
    <row r="978" s="9" customFormat="1" ht="15.75" customHeight="1" x14ac:dyDescent="0.25"/>
    <row r="979" s="9" customFormat="1" ht="15.75" customHeight="1" x14ac:dyDescent="0.25"/>
    <row r="980" s="9" customFormat="1" ht="15.75" customHeight="1" x14ac:dyDescent="0.25"/>
    <row r="981" s="9" customFormat="1" ht="15.75" customHeight="1" x14ac:dyDescent="0.25"/>
    <row r="982" s="9" customFormat="1" ht="15.75" customHeight="1" x14ac:dyDescent="0.25"/>
    <row r="983" s="9" customFormat="1" ht="15.75" customHeight="1" x14ac:dyDescent="0.25"/>
    <row r="984" s="9" customFormat="1" ht="15.75" customHeight="1" x14ac:dyDescent="0.25"/>
    <row r="985" s="9" customFormat="1" ht="15.75" customHeight="1" x14ac:dyDescent="0.25"/>
    <row r="986" s="9" customFormat="1" ht="15.75" customHeight="1" x14ac:dyDescent="0.25"/>
    <row r="987" s="9" customFormat="1" ht="15.75" customHeight="1" x14ac:dyDescent="0.25"/>
    <row r="988" s="9" customFormat="1" ht="15.75" customHeight="1" x14ac:dyDescent="0.25"/>
    <row r="989" s="9" customFormat="1" ht="15.75" customHeight="1" x14ac:dyDescent="0.25"/>
    <row r="990" s="9" customFormat="1" ht="15.75" customHeight="1" x14ac:dyDescent="0.25"/>
    <row r="991" s="9" customFormat="1" ht="15.75" customHeight="1" x14ac:dyDescent="0.25"/>
    <row r="992" s="9" customFormat="1" ht="15.75" customHeight="1" x14ac:dyDescent="0.25"/>
    <row r="993" s="9" customFormat="1" ht="15.75" customHeight="1" x14ac:dyDescent="0.25"/>
    <row r="994" s="9" customFormat="1" ht="15.75" customHeight="1" x14ac:dyDescent="0.25"/>
    <row r="995" s="9" customFormat="1" ht="15.75" customHeight="1" x14ac:dyDescent="0.25"/>
    <row r="996" s="9" customFormat="1" ht="15.75" customHeight="1" x14ac:dyDescent="0.25"/>
    <row r="997" s="9" customFormat="1" ht="15.75" customHeight="1" x14ac:dyDescent="0.25"/>
    <row r="998" s="9" customFormat="1" ht="15.75" customHeight="1" x14ac:dyDescent="0.25"/>
    <row r="999" s="9" customFormat="1" ht="15.75" customHeight="1" x14ac:dyDescent="0.25"/>
    <row r="1000" s="9" customFormat="1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26E9D-72E3-47E0-893E-263D1895541B}">
  <dimension ref="A1:L48"/>
  <sheetViews>
    <sheetView workbookViewId="0">
      <selection activeCell="L8" sqref="L8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  <col min="7" max="7" width="16.7109375" bestFit="1" customWidth="1"/>
    <col min="8" max="8" width="10.28515625" customWidth="1"/>
    <col min="9" max="9" width="15.42578125" customWidth="1"/>
    <col min="10" max="10" width="13.42578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93</v>
      </c>
      <c r="H1" s="2" t="s">
        <v>94</v>
      </c>
      <c r="I1" s="2" t="s">
        <v>95</v>
      </c>
      <c r="J1" s="2" t="s">
        <v>96</v>
      </c>
      <c r="K1" s="3"/>
      <c r="L1" s="3"/>
    </row>
    <row r="2" spans="1:12" x14ac:dyDescent="0.25">
      <c r="A2" s="4" t="s">
        <v>6</v>
      </c>
      <c r="B2" s="4" t="s">
        <v>7</v>
      </c>
      <c r="C2" s="4" t="s">
        <v>8</v>
      </c>
      <c r="D2" s="4">
        <v>1000</v>
      </c>
      <c r="E2" s="4">
        <v>30</v>
      </c>
      <c r="F2" s="4" t="s">
        <v>9</v>
      </c>
      <c r="G2" s="4" t="str">
        <f>IF(Sales_DB[[#This Row],[Price ($)]]&gt;=500,"High Price", "Standard Price")</f>
        <v>High Price</v>
      </c>
      <c r="H2" s="4" t="str">
        <f>LEFT(Sales_DB[[#This Row],[Product ID]],2)</f>
        <v>28</v>
      </c>
      <c r="I2" s="4" t="str">
        <f>RIGHT(Sales_DB[[#This Row],[Product ID]],2)</f>
        <v>US</v>
      </c>
      <c r="J2" s="4" t="str">
        <f>MID(Sales_DB[[#This Row],[Product ID]],4,3)</f>
        <v>JAN</v>
      </c>
      <c r="K2" s="4"/>
      <c r="L2" s="4"/>
    </row>
    <row r="3" spans="1:12" x14ac:dyDescent="0.25">
      <c r="A3" s="5" t="s">
        <v>10</v>
      </c>
      <c r="B3" s="5" t="s">
        <v>11</v>
      </c>
      <c r="C3" s="5" t="s">
        <v>12</v>
      </c>
      <c r="D3" s="5">
        <v>80</v>
      </c>
      <c r="E3" s="5">
        <v>15</v>
      </c>
      <c r="F3" s="5" t="s">
        <v>13</v>
      </c>
      <c r="G3" s="5" t="str">
        <f>IF(Sales_DB[[#This Row],[Price ($)]]&gt;=500,"High Price", "Standard Price")</f>
        <v>Standard Price</v>
      </c>
      <c r="H3" s="5" t="str">
        <f>LEFT(Sales_DB[[#This Row],[Product ID]],2)</f>
        <v>15</v>
      </c>
      <c r="I3" s="5" t="str">
        <f>RIGHT(Sales_DB[[#This Row],[Product ID]],2)</f>
        <v>US</v>
      </c>
      <c r="J3" s="5" t="str">
        <f>MID(Sales_DB[[#This Row],[Product ID]],4,3)</f>
        <v>FEB</v>
      </c>
      <c r="K3" s="4"/>
      <c r="L3" s="4"/>
    </row>
    <row r="4" spans="1:12" x14ac:dyDescent="0.25">
      <c r="A4" s="4" t="s">
        <v>14</v>
      </c>
      <c r="B4" s="4" t="s">
        <v>15</v>
      </c>
      <c r="C4" s="4" t="s">
        <v>16</v>
      </c>
      <c r="D4" s="4">
        <v>130</v>
      </c>
      <c r="E4" s="4">
        <v>40</v>
      </c>
      <c r="F4" s="4" t="s">
        <v>17</v>
      </c>
      <c r="G4" s="4" t="str">
        <f>IF(Sales_DB[[#This Row],[Price ($)]]&gt;=500,"High Price", "Standard Price")</f>
        <v>Standard Price</v>
      </c>
      <c r="H4" s="4" t="str">
        <f>LEFT(Sales_DB[[#This Row],[Product ID]],2)</f>
        <v>03</v>
      </c>
      <c r="I4" s="4" t="str">
        <f>RIGHT(Sales_DB[[#This Row],[Product ID]],2)</f>
        <v>US</v>
      </c>
      <c r="J4" s="4" t="str">
        <f>MID(Sales_DB[[#This Row],[Product ID]],4,3)</f>
        <v>MAR</v>
      </c>
      <c r="K4" s="4"/>
      <c r="L4" s="4"/>
    </row>
    <row r="5" spans="1:12" x14ac:dyDescent="0.25">
      <c r="A5" s="5" t="s">
        <v>18</v>
      </c>
      <c r="B5" s="5" t="s">
        <v>19</v>
      </c>
      <c r="C5" s="5" t="s">
        <v>20</v>
      </c>
      <c r="D5" s="5">
        <v>900</v>
      </c>
      <c r="E5" s="5">
        <v>25</v>
      </c>
      <c r="F5" s="5" t="s">
        <v>9</v>
      </c>
      <c r="G5" s="5" t="str">
        <f>IF(Sales_DB[[#This Row],[Price ($)]]&gt;=500,"High Price", "Standard Price")</f>
        <v>High Price</v>
      </c>
      <c r="H5" s="5" t="str">
        <f>LEFT(Sales_DB[[#This Row],[Product ID]],2)</f>
        <v>11</v>
      </c>
      <c r="I5" s="5" t="str">
        <f>RIGHT(Sales_DB[[#This Row],[Product ID]],2)</f>
        <v>US</v>
      </c>
      <c r="J5" s="5" t="str">
        <f>MID(Sales_DB[[#This Row],[Product ID]],4,3)</f>
        <v>APR</v>
      </c>
      <c r="K5" s="4"/>
      <c r="L5" s="4"/>
    </row>
    <row r="6" spans="1:12" x14ac:dyDescent="0.25">
      <c r="A6" s="4" t="s">
        <v>21</v>
      </c>
      <c r="B6" s="4" t="s">
        <v>22</v>
      </c>
      <c r="C6" s="4" t="s">
        <v>23</v>
      </c>
      <c r="D6" s="4">
        <v>70</v>
      </c>
      <c r="E6" s="4">
        <v>20</v>
      </c>
      <c r="F6" s="4" t="s">
        <v>24</v>
      </c>
      <c r="G6" s="4" t="str">
        <f>IF(Sales_DB[[#This Row],[Price ($)]]&gt;=500,"High Price", "Standard Price")</f>
        <v>Standard Price</v>
      </c>
      <c r="H6" s="4" t="str">
        <f>LEFT(Sales_DB[[#This Row],[Product ID]],2)</f>
        <v>22</v>
      </c>
      <c r="I6" s="4" t="str">
        <f>RIGHT(Sales_DB[[#This Row],[Product ID]],2)</f>
        <v>US</v>
      </c>
      <c r="J6" s="4" t="str">
        <f>MID(Sales_DB[[#This Row],[Product ID]],4,3)</f>
        <v>MAY</v>
      </c>
      <c r="K6" s="4"/>
      <c r="L6" s="4"/>
    </row>
    <row r="7" spans="1:12" x14ac:dyDescent="0.25">
      <c r="A7" s="5" t="s">
        <v>25</v>
      </c>
      <c r="B7" s="5" t="s">
        <v>26</v>
      </c>
      <c r="C7" s="5" t="s">
        <v>27</v>
      </c>
      <c r="D7" s="5">
        <v>200</v>
      </c>
      <c r="E7" s="5">
        <v>45</v>
      </c>
      <c r="F7" s="5" t="s">
        <v>9</v>
      </c>
      <c r="G7" s="5" t="str">
        <f>IF(Sales_DB[[#This Row],[Price ($)]]&gt;=500,"High Price", "Standard Price")</f>
        <v>Standard Price</v>
      </c>
      <c r="H7" s="5" t="str">
        <f>LEFT(Sales_DB[[#This Row],[Product ID]],2)</f>
        <v>07</v>
      </c>
      <c r="I7" s="5" t="str">
        <f>RIGHT(Sales_DB[[#This Row],[Product ID]],2)</f>
        <v>UK</v>
      </c>
      <c r="J7" s="5" t="str">
        <f>MID(Sales_DB[[#This Row],[Product ID]],4,3)</f>
        <v>JUN</v>
      </c>
      <c r="K7" s="4"/>
      <c r="L7" s="4"/>
    </row>
    <row r="8" spans="1:12" x14ac:dyDescent="0.25">
      <c r="A8" s="4" t="s">
        <v>28</v>
      </c>
      <c r="B8" s="4" t="s">
        <v>29</v>
      </c>
      <c r="C8" s="4" t="s">
        <v>30</v>
      </c>
      <c r="D8" s="4">
        <v>30</v>
      </c>
      <c r="E8" s="4">
        <v>5</v>
      </c>
      <c r="F8" s="4" t="s">
        <v>13</v>
      </c>
      <c r="G8" s="4" t="str">
        <f>IF(Sales_DB[[#This Row],[Price ($)]]&gt;=500,"High Price", "Standard Price")</f>
        <v>Standard Price</v>
      </c>
      <c r="H8" s="4" t="str">
        <f>LEFT(Sales_DB[[#This Row],[Product ID]],2)</f>
        <v>19</v>
      </c>
      <c r="I8" s="4" t="str">
        <f>RIGHT(Sales_DB[[#This Row],[Product ID]],2)</f>
        <v>UK</v>
      </c>
      <c r="J8" s="4" t="str">
        <f>MID(Sales_DB[[#This Row],[Product ID]],4,3)</f>
        <v>JUL</v>
      </c>
      <c r="K8" s="4"/>
      <c r="L8" s="4"/>
    </row>
    <row r="9" spans="1:12" x14ac:dyDescent="0.25">
      <c r="A9" s="5" t="s">
        <v>31</v>
      </c>
      <c r="B9" s="5" t="s">
        <v>32</v>
      </c>
      <c r="C9" s="5" t="s">
        <v>33</v>
      </c>
      <c r="D9" s="5">
        <v>90</v>
      </c>
      <c r="E9" s="5">
        <v>35</v>
      </c>
      <c r="F9" s="5" t="s">
        <v>17</v>
      </c>
      <c r="G9" s="5" t="str">
        <f>IF(Sales_DB[[#This Row],[Price ($)]]&gt;=500,"High Price", "Standard Price")</f>
        <v>Standard Price</v>
      </c>
      <c r="H9" s="5" t="str">
        <f>LEFT(Sales_DB[[#This Row],[Product ID]],2)</f>
        <v>23</v>
      </c>
      <c r="I9" s="5" t="str">
        <f>RIGHT(Sales_DB[[#This Row],[Product ID]],2)</f>
        <v>UK</v>
      </c>
      <c r="J9" s="5" t="str">
        <f>MID(Sales_DB[[#This Row],[Product ID]],4,3)</f>
        <v>AUG</v>
      </c>
      <c r="K9" s="4"/>
      <c r="L9" s="4"/>
    </row>
    <row r="10" spans="1:12" x14ac:dyDescent="0.25">
      <c r="A10" s="4" t="s">
        <v>34</v>
      </c>
      <c r="B10" s="4" t="s">
        <v>35</v>
      </c>
      <c r="C10" s="4" t="s">
        <v>36</v>
      </c>
      <c r="D10" s="4">
        <v>500</v>
      </c>
      <c r="E10" s="4">
        <v>50</v>
      </c>
      <c r="F10" s="4" t="s">
        <v>9</v>
      </c>
      <c r="G10" s="4" t="str">
        <f>IF(Sales_DB[[#This Row],[Price ($)]]&gt;=500,"High Price", "Standard Price")</f>
        <v>High Price</v>
      </c>
      <c r="H10" s="4" t="str">
        <f>LEFT(Sales_DB[[#This Row],[Product ID]],2)</f>
        <v>05</v>
      </c>
      <c r="I10" s="4" t="str">
        <f>RIGHT(Sales_DB[[#This Row],[Product ID]],2)</f>
        <v>UK</v>
      </c>
      <c r="J10" s="4" t="str">
        <f>MID(Sales_DB[[#This Row],[Product ID]],4,3)</f>
        <v>SEP</v>
      </c>
      <c r="K10" s="4"/>
      <c r="L10" s="4"/>
    </row>
    <row r="11" spans="1:12" x14ac:dyDescent="0.25">
      <c r="A11" s="5" t="s">
        <v>37</v>
      </c>
      <c r="B11" s="5" t="s">
        <v>38</v>
      </c>
      <c r="C11" s="5" t="s">
        <v>39</v>
      </c>
      <c r="D11" s="5">
        <v>130</v>
      </c>
      <c r="E11" s="5">
        <v>10</v>
      </c>
      <c r="F11" s="5" t="s">
        <v>24</v>
      </c>
      <c r="G11" s="5" t="str">
        <f>IF(Sales_DB[[#This Row],[Price ($)]]&gt;=500,"High Price", "Standard Price")</f>
        <v>Standard Price</v>
      </c>
      <c r="H11" s="5" t="str">
        <f>LEFT(Sales_DB[[#This Row],[Product ID]],2)</f>
        <v>14</v>
      </c>
      <c r="I11" s="5" t="str">
        <f>RIGHT(Sales_DB[[#This Row],[Product ID]],2)</f>
        <v>UK</v>
      </c>
      <c r="J11" s="5" t="str">
        <f>MID(Sales_DB[[#This Row],[Product ID]],4,3)</f>
        <v>OCT</v>
      </c>
      <c r="K11" s="4"/>
      <c r="L11" s="4"/>
    </row>
    <row r="12" spans="1:12" x14ac:dyDescent="0.25">
      <c r="A12" s="4" t="s">
        <v>40</v>
      </c>
      <c r="B12" s="4" t="s">
        <v>7</v>
      </c>
      <c r="C12" s="4" t="s">
        <v>41</v>
      </c>
      <c r="D12" s="4">
        <v>950</v>
      </c>
      <c r="E12" s="4">
        <v>25</v>
      </c>
      <c r="F12" s="4" t="s">
        <v>9</v>
      </c>
      <c r="G12" s="4" t="str">
        <f>IF(Sales_DB[[#This Row],[Price ($)]]&gt;=500,"High Price", "Standard Price")</f>
        <v>High Price</v>
      </c>
      <c r="H12" s="4" t="str">
        <f>LEFT(Sales_DB[[#This Row],[Product ID]],2)</f>
        <v>17</v>
      </c>
      <c r="I12" s="4" t="str">
        <f>RIGHT(Sales_DB[[#This Row],[Product ID]],2)</f>
        <v>IN</v>
      </c>
      <c r="J12" s="4" t="str">
        <f>MID(Sales_DB[[#This Row],[Product ID]],4,3)</f>
        <v>JUN</v>
      </c>
      <c r="K12" s="4"/>
      <c r="L12" s="4"/>
    </row>
    <row r="13" spans="1:12" x14ac:dyDescent="0.25">
      <c r="A13" s="5" t="s">
        <v>42</v>
      </c>
      <c r="B13" s="5" t="s">
        <v>11</v>
      </c>
      <c r="C13" s="5" t="s">
        <v>30</v>
      </c>
      <c r="D13" s="5">
        <v>90</v>
      </c>
      <c r="E13" s="5">
        <v>40</v>
      </c>
      <c r="F13" s="5" t="s">
        <v>13</v>
      </c>
      <c r="G13" s="5" t="str">
        <f>IF(Sales_DB[[#This Row],[Price ($)]]&gt;=500,"High Price", "Standard Price")</f>
        <v>Standard Price</v>
      </c>
      <c r="H13" s="5" t="str">
        <f>LEFT(Sales_DB[[#This Row],[Product ID]],2)</f>
        <v>25</v>
      </c>
      <c r="I13" s="5" t="str">
        <f>RIGHT(Sales_DB[[#This Row],[Product ID]],2)</f>
        <v>AU</v>
      </c>
      <c r="J13" s="5" t="str">
        <f>MID(Sales_DB[[#This Row],[Product ID]],4,3)</f>
        <v>NOV</v>
      </c>
      <c r="K13" s="4"/>
      <c r="L13" s="4"/>
    </row>
    <row r="14" spans="1:12" x14ac:dyDescent="0.25">
      <c r="A14" s="4" t="s">
        <v>43</v>
      </c>
      <c r="B14" s="4" t="s">
        <v>15</v>
      </c>
      <c r="C14" s="4" t="s">
        <v>44</v>
      </c>
      <c r="D14" s="4">
        <v>120</v>
      </c>
      <c r="E14" s="4">
        <v>35</v>
      </c>
      <c r="F14" s="4" t="s">
        <v>17</v>
      </c>
      <c r="G14" s="4" t="str">
        <f>IF(Sales_DB[[#This Row],[Price ($)]]&gt;=500,"High Price", "Standard Price")</f>
        <v>Standard Price</v>
      </c>
      <c r="H14" s="4" t="str">
        <f>LEFT(Sales_DB[[#This Row],[Product ID]],2)</f>
        <v>08</v>
      </c>
      <c r="I14" s="4" t="str">
        <f>RIGHT(Sales_DB[[#This Row],[Product ID]],2)</f>
        <v>DE</v>
      </c>
      <c r="J14" s="4" t="str">
        <f>MID(Sales_DB[[#This Row],[Product ID]],4,3)</f>
        <v>DEC</v>
      </c>
      <c r="K14" s="4"/>
      <c r="L14" s="4"/>
    </row>
    <row r="15" spans="1:12" x14ac:dyDescent="0.25">
      <c r="A15" s="5" t="s">
        <v>45</v>
      </c>
      <c r="B15" s="5" t="s">
        <v>46</v>
      </c>
      <c r="C15" s="5" t="s">
        <v>47</v>
      </c>
      <c r="D15" s="5">
        <v>150</v>
      </c>
      <c r="E15" s="5">
        <v>15</v>
      </c>
      <c r="F15" s="5" t="s">
        <v>9</v>
      </c>
      <c r="G15" s="5" t="str">
        <f>IF(Sales_DB[[#This Row],[Price ($)]]&gt;=500,"High Price", "Standard Price")</f>
        <v>Standard Price</v>
      </c>
      <c r="H15" s="5" t="str">
        <f>LEFT(Sales_DB[[#This Row],[Product ID]],2)</f>
        <v>18</v>
      </c>
      <c r="I15" s="5" t="str">
        <f>RIGHT(Sales_DB[[#This Row],[Product ID]],2)</f>
        <v>CA</v>
      </c>
      <c r="J15" s="5" t="str">
        <f>MID(Sales_DB[[#This Row],[Product ID]],4,3)</f>
        <v>FEB</v>
      </c>
      <c r="K15" s="4"/>
      <c r="L15" s="4"/>
    </row>
    <row r="16" spans="1:12" x14ac:dyDescent="0.25">
      <c r="A16" s="4" t="s">
        <v>48</v>
      </c>
      <c r="B16" s="4" t="s">
        <v>26</v>
      </c>
      <c r="C16" s="4" t="s">
        <v>49</v>
      </c>
      <c r="D16" s="4">
        <v>250</v>
      </c>
      <c r="E16" s="4">
        <v>20</v>
      </c>
      <c r="F16" s="4" t="s">
        <v>9</v>
      </c>
      <c r="G16" s="4" t="str">
        <f>IF(Sales_DB[[#This Row],[Price ($)]]&gt;=500,"High Price", "Standard Price")</f>
        <v>Standard Price</v>
      </c>
      <c r="H16" s="4" t="str">
        <f>LEFT(Sales_DB[[#This Row],[Product ID]],2)</f>
        <v>16</v>
      </c>
      <c r="I16" s="4" t="str">
        <f>RIGHT(Sales_DB[[#This Row],[Product ID]],2)</f>
        <v>ES</v>
      </c>
      <c r="J16" s="4" t="str">
        <f>MID(Sales_DB[[#This Row],[Product ID]],4,3)</f>
        <v>APR</v>
      </c>
      <c r="K16" s="4"/>
      <c r="L16" s="4"/>
    </row>
    <row r="17" spans="1:12" x14ac:dyDescent="0.25">
      <c r="A17" s="5" t="s">
        <v>50</v>
      </c>
      <c r="B17" s="5" t="s">
        <v>51</v>
      </c>
      <c r="C17" s="5" t="s">
        <v>52</v>
      </c>
      <c r="D17" s="5">
        <v>50</v>
      </c>
      <c r="E17" s="5">
        <v>35</v>
      </c>
      <c r="F17" s="5" t="s">
        <v>53</v>
      </c>
      <c r="G17" s="5" t="str">
        <f>IF(Sales_DB[[#This Row],[Price ($)]]&gt;=500,"High Price", "Standard Price")</f>
        <v>Standard Price</v>
      </c>
      <c r="H17" s="5" t="str">
        <f>LEFT(Sales_DB[[#This Row],[Product ID]],2)</f>
        <v>21</v>
      </c>
      <c r="I17" s="5" t="str">
        <f>RIGHT(Sales_DB[[#This Row],[Product ID]],2)</f>
        <v>CA</v>
      </c>
      <c r="J17" s="5" t="str">
        <f>MID(Sales_DB[[#This Row],[Product ID]],4,3)</f>
        <v>AUG</v>
      </c>
      <c r="K17" s="4"/>
      <c r="L17" s="4"/>
    </row>
    <row r="18" spans="1:12" x14ac:dyDescent="0.25">
      <c r="A18" s="4" t="s">
        <v>54</v>
      </c>
      <c r="B18" s="4" t="s">
        <v>46</v>
      </c>
      <c r="C18" s="4" t="s">
        <v>55</v>
      </c>
      <c r="D18" s="4">
        <v>160</v>
      </c>
      <c r="E18" s="4">
        <v>15</v>
      </c>
      <c r="F18" s="4" t="s">
        <v>9</v>
      </c>
      <c r="G18" s="4" t="str">
        <f>IF(Sales_DB[[#This Row],[Price ($)]]&gt;=500,"High Price", "Standard Price")</f>
        <v>Standard Price</v>
      </c>
      <c r="H18" s="4" t="str">
        <f>LEFT(Sales_DB[[#This Row],[Product ID]],2)</f>
        <v>20</v>
      </c>
      <c r="I18" s="4" t="str">
        <f>RIGHT(Sales_DB[[#This Row],[Product ID]],2)</f>
        <v>CN</v>
      </c>
      <c r="J18" s="4" t="str">
        <f>MID(Sales_DB[[#This Row],[Product ID]],4,3)</f>
        <v>AUG</v>
      </c>
      <c r="K18" s="4"/>
      <c r="L18" s="4"/>
    </row>
    <row r="19" spans="1:12" x14ac:dyDescent="0.25">
      <c r="A19" s="5" t="s">
        <v>56</v>
      </c>
      <c r="B19" s="5" t="s">
        <v>7</v>
      </c>
      <c r="C19" s="5" t="s">
        <v>57</v>
      </c>
      <c r="D19" s="5">
        <v>980</v>
      </c>
      <c r="E19" s="5">
        <v>10</v>
      </c>
      <c r="F19" s="5" t="s">
        <v>9</v>
      </c>
      <c r="G19" s="5" t="str">
        <f>IF(Sales_DB[[#This Row],[Price ($)]]&gt;=500,"High Price", "Standard Price")</f>
        <v>High Price</v>
      </c>
      <c r="H19" s="5" t="str">
        <f>LEFT(Sales_DB[[#This Row],[Product ID]],2)</f>
        <v>27</v>
      </c>
      <c r="I19" s="5" t="str">
        <f>RIGHT(Sales_DB[[#This Row],[Product ID]],2)</f>
        <v>IT</v>
      </c>
      <c r="J19" s="5" t="str">
        <f>MID(Sales_DB[[#This Row],[Product ID]],4,3)</f>
        <v>JAN</v>
      </c>
      <c r="K19" s="4"/>
      <c r="L19" s="4"/>
    </row>
    <row r="20" spans="1:12" x14ac:dyDescent="0.25">
      <c r="A20" s="4" t="s">
        <v>58</v>
      </c>
      <c r="B20" s="4" t="s">
        <v>59</v>
      </c>
      <c r="C20" s="4" t="s">
        <v>60</v>
      </c>
      <c r="D20" s="4">
        <v>150</v>
      </c>
      <c r="E20" s="4">
        <v>15</v>
      </c>
      <c r="F20" s="4" t="s">
        <v>13</v>
      </c>
      <c r="G20" s="4" t="str">
        <f>IF(Sales_DB[[#This Row],[Price ($)]]&gt;=500,"High Price", "Standard Price")</f>
        <v>Standard Price</v>
      </c>
      <c r="H20" s="4" t="str">
        <f>LEFT(Sales_DB[[#This Row],[Product ID]],2)</f>
        <v>01</v>
      </c>
      <c r="I20" s="4" t="str">
        <f>RIGHT(Sales_DB[[#This Row],[Product ID]],2)</f>
        <v>UK</v>
      </c>
      <c r="J20" s="4" t="str">
        <f>MID(Sales_DB[[#This Row],[Product ID]],4,3)</f>
        <v>MAR</v>
      </c>
      <c r="K20" s="4"/>
      <c r="L20" s="4"/>
    </row>
    <row r="21" spans="1:12" x14ac:dyDescent="0.25">
      <c r="A21" s="5" t="s">
        <v>61</v>
      </c>
      <c r="B21" s="5" t="s">
        <v>62</v>
      </c>
      <c r="C21" s="5" t="s">
        <v>63</v>
      </c>
      <c r="D21" s="5">
        <v>200</v>
      </c>
      <c r="E21" s="5">
        <v>10</v>
      </c>
      <c r="F21" s="5" t="s">
        <v>24</v>
      </c>
      <c r="G21" s="5" t="str">
        <f>IF(Sales_DB[[#This Row],[Price ($)]]&gt;=500,"High Price", "Standard Price")</f>
        <v>Standard Price</v>
      </c>
      <c r="H21" s="5" t="str">
        <f>LEFT(Sales_DB[[#This Row],[Product ID]],2)</f>
        <v>14</v>
      </c>
      <c r="I21" s="5" t="str">
        <f>RIGHT(Sales_DB[[#This Row],[Product ID]],2)</f>
        <v>US</v>
      </c>
      <c r="J21" s="5" t="str">
        <f>MID(Sales_DB[[#This Row],[Product ID]],4,3)</f>
        <v>AUG</v>
      </c>
      <c r="K21" s="4"/>
      <c r="L21" s="4"/>
    </row>
    <row r="22" spans="1:12" x14ac:dyDescent="0.25">
      <c r="A22" s="4" t="s">
        <v>64</v>
      </c>
      <c r="B22" s="4" t="s">
        <v>65</v>
      </c>
      <c r="C22" s="4" t="s">
        <v>66</v>
      </c>
      <c r="D22" s="4">
        <v>700</v>
      </c>
      <c r="E22" s="4">
        <v>50</v>
      </c>
      <c r="F22" s="4" t="s">
        <v>9</v>
      </c>
      <c r="G22" s="4" t="str">
        <f>IF(Sales_DB[[#This Row],[Price ($)]]&gt;=500,"High Price", "Standard Price")</f>
        <v>High Price</v>
      </c>
      <c r="H22" s="4" t="str">
        <f>LEFT(Sales_DB[[#This Row],[Product ID]],2)</f>
        <v>14</v>
      </c>
      <c r="I22" s="4" t="str">
        <f>RIGHT(Sales_DB[[#This Row],[Product ID]],2)</f>
        <v>RU</v>
      </c>
      <c r="J22" s="4" t="str">
        <f>MID(Sales_DB[[#This Row],[Product ID]],4,3)</f>
        <v>MAY</v>
      </c>
      <c r="K22" s="4"/>
      <c r="L22" s="4"/>
    </row>
    <row r="23" spans="1:12" x14ac:dyDescent="0.25">
      <c r="A23" s="5" t="s">
        <v>67</v>
      </c>
      <c r="B23" s="5" t="s">
        <v>68</v>
      </c>
      <c r="C23" s="5" t="s">
        <v>69</v>
      </c>
      <c r="D23" s="5">
        <v>80</v>
      </c>
      <c r="E23" s="5">
        <v>20</v>
      </c>
      <c r="F23" s="5" t="s">
        <v>17</v>
      </c>
      <c r="G23" s="5" t="str">
        <f>IF(Sales_DB[[#This Row],[Price ($)]]&gt;=500,"High Price", "Standard Price")</f>
        <v>Standard Price</v>
      </c>
      <c r="H23" s="5" t="str">
        <f>LEFT(Sales_DB[[#This Row],[Product ID]],2)</f>
        <v>09</v>
      </c>
      <c r="I23" s="5" t="str">
        <f>RIGHT(Sales_DB[[#This Row],[Product ID]],2)</f>
        <v>CA</v>
      </c>
      <c r="J23" s="5" t="str">
        <f>MID(Sales_DB[[#This Row],[Product ID]],4,3)</f>
        <v>JAN</v>
      </c>
      <c r="K23" s="4"/>
      <c r="L23" s="4"/>
    </row>
    <row r="24" spans="1:12" x14ac:dyDescent="0.25">
      <c r="A24" s="4" t="s">
        <v>70</v>
      </c>
      <c r="B24" s="4" t="s">
        <v>71</v>
      </c>
      <c r="C24" s="4" t="s">
        <v>72</v>
      </c>
      <c r="D24" s="4">
        <v>150</v>
      </c>
      <c r="E24" s="4">
        <v>30</v>
      </c>
      <c r="F24" s="4" t="s">
        <v>9</v>
      </c>
      <c r="G24" s="4" t="str">
        <f>IF(Sales_DB[[#This Row],[Price ($)]]&gt;=500,"High Price", "Standard Price")</f>
        <v>Standard Price</v>
      </c>
      <c r="H24" s="4" t="str">
        <f>LEFT(Sales_DB[[#This Row],[Product ID]],2)</f>
        <v>19</v>
      </c>
      <c r="I24" s="4" t="str">
        <f>RIGHT(Sales_DB[[#This Row],[Product ID]],2)</f>
        <v>BR</v>
      </c>
      <c r="J24" s="4" t="str">
        <f>MID(Sales_DB[[#This Row],[Product ID]],4,3)</f>
        <v>JUL</v>
      </c>
      <c r="K24" s="4"/>
      <c r="L24" s="4"/>
    </row>
    <row r="25" spans="1:12" x14ac:dyDescent="0.25">
      <c r="A25" s="5" t="s">
        <v>50</v>
      </c>
      <c r="B25" s="5" t="s">
        <v>51</v>
      </c>
      <c r="C25" s="5" t="s">
        <v>52</v>
      </c>
      <c r="D25" s="5">
        <v>50</v>
      </c>
      <c r="E25" s="5">
        <v>35</v>
      </c>
      <c r="F25" s="5" t="s">
        <v>53</v>
      </c>
      <c r="G25" s="5" t="str">
        <f>IF(Sales_DB[[#This Row],[Price ($)]]&gt;=500,"High Price", "Standard Price")</f>
        <v>Standard Price</v>
      </c>
      <c r="H25" s="5" t="str">
        <f>LEFT(Sales_DB[[#This Row],[Product ID]],2)</f>
        <v>21</v>
      </c>
      <c r="I25" s="5" t="str">
        <f>RIGHT(Sales_DB[[#This Row],[Product ID]],2)</f>
        <v>CA</v>
      </c>
      <c r="J25" s="5" t="str">
        <f>MID(Sales_DB[[#This Row],[Product ID]],4,3)</f>
        <v>AUG</v>
      </c>
      <c r="K25" s="6"/>
      <c r="L25" s="6"/>
    </row>
    <row r="26" spans="1:12" x14ac:dyDescent="0.25">
      <c r="A26" s="4" t="s">
        <v>73</v>
      </c>
      <c r="B26" s="4" t="s">
        <v>19</v>
      </c>
      <c r="C26" s="4" t="s">
        <v>74</v>
      </c>
      <c r="D26" s="4">
        <v>800</v>
      </c>
      <c r="E26" s="4">
        <v>45</v>
      </c>
      <c r="F26" s="4" t="s">
        <v>9</v>
      </c>
      <c r="G26" s="4" t="str">
        <f>IF(Sales_DB[[#This Row],[Price ($)]]&gt;=500,"High Price", "Standard Price")</f>
        <v>High Price</v>
      </c>
      <c r="H26" s="4" t="str">
        <f>LEFT(Sales_DB[[#This Row],[Product ID]],2)</f>
        <v>29</v>
      </c>
      <c r="I26" s="4" t="str">
        <f>RIGHT(Sales_DB[[#This Row],[Product ID]],2)</f>
        <v>CA</v>
      </c>
      <c r="J26" s="4" t="str">
        <f>MID(Sales_DB[[#This Row],[Product ID]],4,3)</f>
        <v>SEP</v>
      </c>
      <c r="K26" s="4"/>
      <c r="L26" s="4"/>
    </row>
    <row r="27" spans="1:12" x14ac:dyDescent="0.25">
      <c r="A27" s="5" t="s">
        <v>75</v>
      </c>
      <c r="B27" s="5" t="s">
        <v>59</v>
      </c>
      <c r="C27" s="5" t="s">
        <v>76</v>
      </c>
      <c r="D27" s="5">
        <v>130</v>
      </c>
      <c r="E27" s="5">
        <v>25</v>
      </c>
      <c r="F27" s="5" t="s">
        <v>13</v>
      </c>
      <c r="G27" s="5" t="str">
        <f>IF(Sales_DB[[#This Row],[Price ($)]]&gt;=500,"High Price", "Standard Price")</f>
        <v>Standard Price</v>
      </c>
      <c r="H27" s="5" t="str">
        <f>LEFT(Sales_DB[[#This Row],[Product ID]],2)</f>
        <v>03</v>
      </c>
      <c r="I27" s="5" t="str">
        <f>RIGHT(Sales_DB[[#This Row],[Product ID]],2)</f>
        <v>CA</v>
      </c>
      <c r="J27" s="5" t="str">
        <f>MID(Sales_DB[[#This Row],[Product ID]],4,3)</f>
        <v>JUN</v>
      </c>
      <c r="K27" s="4"/>
      <c r="L27" s="4"/>
    </row>
    <row r="28" spans="1:12" x14ac:dyDescent="0.25">
      <c r="A28" s="4" t="s">
        <v>77</v>
      </c>
      <c r="B28" s="4" t="s">
        <v>32</v>
      </c>
      <c r="C28" s="4" t="s">
        <v>78</v>
      </c>
      <c r="D28" s="4">
        <v>400</v>
      </c>
      <c r="E28" s="4">
        <v>40</v>
      </c>
      <c r="F28" s="4" t="s">
        <v>17</v>
      </c>
      <c r="G28" s="4" t="str">
        <f>IF(Sales_DB[[#This Row],[Price ($)]]&gt;=500,"High Price", "Standard Price")</f>
        <v>Standard Price</v>
      </c>
      <c r="H28" s="4" t="str">
        <f>LEFT(Sales_DB[[#This Row],[Product ID]],2)</f>
        <v>11</v>
      </c>
      <c r="I28" s="4" t="str">
        <f>RIGHT(Sales_DB[[#This Row],[Product ID]],2)</f>
        <v>CA</v>
      </c>
      <c r="J28" s="4" t="str">
        <f>MID(Sales_DB[[#This Row],[Product ID]],4,3)</f>
        <v>JUL</v>
      </c>
      <c r="K28" s="4"/>
      <c r="L28" s="4"/>
    </row>
    <row r="29" spans="1:12" x14ac:dyDescent="0.25">
      <c r="A29" s="5" t="s">
        <v>48</v>
      </c>
      <c r="B29" s="5" t="s">
        <v>26</v>
      </c>
      <c r="C29" s="5" t="s">
        <v>49</v>
      </c>
      <c r="D29" s="5">
        <v>230</v>
      </c>
      <c r="E29" s="5">
        <v>20</v>
      </c>
      <c r="F29" s="5" t="s">
        <v>9</v>
      </c>
      <c r="G29" s="5" t="str">
        <f>IF(Sales_DB[[#This Row],[Price ($)]]&gt;=500,"High Price", "Standard Price")</f>
        <v>Standard Price</v>
      </c>
      <c r="H29" s="5" t="str">
        <f>LEFT(Sales_DB[[#This Row],[Product ID]],2)</f>
        <v>16</v>
      </c>
      <c r="I29" s="5" t="str">
        <f>RIGHT(Sales_DB[[#This Row],[Product ID]],2)</f>
        <v>ES</v>
      </c>
      <c r="J29" s="5" t="str">
        <f>MID(Sales_DB[[#This Row],[Product ID]],4,3)</f>
        <v>APR</v>
      </c>
      <c r="K29" s="6"/>
      <c r="L29" s="6"/>
    </row>
    <row r="30" spans="1:12" x14ac:dyDescent="0.25">
      <c r="A30" s="4" t="s">
        <v>79</v>
      </c>
      <c r="B30" s="4" t="s">
        <v>80</v>
      </c>
      <c r="C30" s="4" t="s">
        <v>81</v>
      </c>
      <c r="D30" s="4">
        <v>60</v>
      </c>
      <c r="E30" s="4">
        <v>30</v>
      </c>
      <c r="F30" s="4" t="s">
        <v>13</v>
      </c>
      <c r="G30" s="4" t="str">
        <f>IF(Sales_DB[[#This Row],[Price ($)]]&gt;=500,"High Price", "Standard Price")</f>
        <v>Standard Price</v>
      </c>
      <c r="H30" s="4" t="str">
        <f>LEFT(Sales_DB[[#This Row],[Product ID]],2)</f>
        <v>07</v>
      </c>
      <c r="I30" s="4" t="str">
        <f>RIGHT(Sales_DB[[#This Row],[Product ID]],2)</f>
        <v>CA</v>
      </c>
      <c r="J30" s="4" t="str">
        <f>MID(Sales_DB[[#This Row],[Product ID]],4,3)</f>
        <v>MAR</v>
      </c>
      <c r="K30" s="4"/>
      <c r="L30" s="4"/>
    </row>
    <row r="31" spans="1:12" x14ac:dyDescent="0.25">
      <c r="A31" s="5" t="s">
        <v>82</v>
      </c>
      <c r="B31" s="5" t="s">
        <v>83</v>
      </c>
      <c r="C31" s="5" t="s">
        <v>84</v>
      </c>
      <c r="D31" s="5">
        <v>40</v>
      </c>
      <c r="E31" s="5">
        <v>10</v>
      </c>
      <c r="F31" s="5" t="s">
        <v>17</v>
      </c>
      <c r="G31" s="5" t="str">
        <f>IF(Sales_DB[[#This Row],[Price ($)]]&gt;=500,"High Price", "Standard Price")</f>
        <v>Standard Price</v>
      </c>
      <c r="H31" s="5" t="str">
        <f>LEFT(Sales_DB[[#This Row],[Product ID]],2)</f>
        <v>13</v>
      </c>
      <c r="I31" s="5" t="str">
        <f>RIGHT(Sales_DB[[#This Row],[Product ID]],2)</f>
        <v>CA</v>
      </c>
      <c r="J31" s="5" t="str">
        <f>MID(Sales_DB[[#This Row],[Product ID]],4,3)</f>
        <v>APR</v>
      </c>
      <c r="K31" s="4"/>
      <c r="L31" s="4"/>
    </row>
    <row r="32" spans="1:12" x14ac:dyDescent="0.25">
      <c r="A32" s="4" t="s">
        <v>85</v>
      </c>
      <c r="B32" s="4" t="s">
        <v>71</v>
      </c>
      <c r="C32" s="4" t="s">
        <v>86</v>
      </c>
      <c r="D32" s="4">
        <v>130</v>
      </c>
      <c r="E32" s="4">
        <v>5</v>
      </c>
      <c r="F32" s="4" t="s">
        <v>9</v>
      </c>
      <c r="G32" s="4" t="str">
        <f>IF(Sales_DB[[#This Row],[Price ($)]]&gt;=500,"High Price", "Standard Price")</f>
        <v>Standard Price</v>
      </c>
      <c r="H32" s="4" t="str">
        <f>LEFT(Sales_DB[[#This Row],[Product ID]],2)</f>
        <v>24</v>
      </c>
      <c r="I32" s="4" t="str">
        <f>RIGHT(Sales_DB[[#This Row],[Product ID]],2)</f>
        <v>CA</v>
      </c>
      <c r="J32" s="4" t="str">
        <f>MID(Sales_DB[[#This Row],[Product ID]],4,3)</f>
        <v>MAY</v>
      </c>
      <c r="K32" s="4"/>
      <c r="L32" s="4"/>
    </row>
    <row r="33" spans="1:12" x14ac:dyDescent="0.25">
      <c r="A33" s="5" t="s">
        <v>87</v>
      </c>
      <c r="B33" s="5" t="s">
        <v>88</v>
      </c>
      <c r="C33" s="5" t="s">
        <v>89</v>
      </c>
      <c r="D33" s="5">
        <v>50</v>
      </c>
      <c r="E33" s="5">
        <v>50</v>
      </c>
      <c r="F33" s="5" t="s">
        <v>13</v>
      </c>
      <c r="G33" s="5" t="str">
        <f>IF(Sales_DB[[#This Row],[Price ($)]]&gt;=500,"High Price", "Standard Price")</f>
        <v>Standard Price</v>
      </c>
      <c r="H33" s="5" t="str">
        <f>LEFT(Sales_DB[[#This Row],[Product ID]],2)</f>
        <v>02</v>
      </c>
      <c r="I33" s="5" t="str">
        <f>RIGHT(Sales_DB[[#This Row],[Product ID]],2)</f>
        <v>CA</v>
      </c>
      <c r="J33" s="5" t="str">
        <f>MID(Sales_DB[[#This Row],[Product ID]],4,3)</f>
        <v>DEC</v>
      </c>
      <c r="K33" s="4"/>
      <c r="L33" s="4"/>
    </row>
    <row r="34" spans="1:12" x14ac:dyDescent="0.25">
      <c r="A34" s="4" t="s">
        <v>40</v>
      </c>
      <c r="B34" s="4" t="s">
        <v>7</v>
      </c>
      <c r="C34" s="4" t="s">
        <v>41</v>
      </c>
      <c r="D34" s="4">
        <v>950</v>
      </c>
      <c r="E34" s="4">
        <v>25</v>
      </c>
      <c r="F34" s="4" t="s">
        <v>9</v>
      </c>
      <c r="G34" s="4" t="str">
        <f>IF(Sales_DB[[#This Row],[Price ($)]]&gt;=500,"High Price", "Standard Price")</f>
        <v>High Price</v>
      </c>
      <c r="H34" s="4" t="str">
        <f>LEFT(Sales_DB[[#This Row],[Product ID]],2)</f>
        <v>17</v>
      </c>
      <c r="I34" s="4" t="str">
        <f>RIGHT(Sales_DB[[#This Row],[Product ID]],2)</f>
        <v>IN</v>
      </c>
      <c r="J34" s="4" t="str">
        <f>MID(Sales_DB[[#This Row],[Product ID]],4,3)</f>
        <v>JUN</v>
      </c>
      <c r="K34" s="4"/>
      <c r="L34" s="4"/>
    </row>
    <row r="35" spans="1:12" x14ac:dyDescent="0.25">
      <c r="A35" s="5" t="s">
        <v>90</v>
      </c>
      <c r="B35" s="5" t="s">
        <v>91</v>
      </c>
      <c r="C35" s="5" t="s">
        <v>92</v>
      </c>
      <c r="D35" s="5">
        <v>100</v>
      </c>
      <c r="E35" s="5">
        <v>20</v>
      </c>
      <c r="F35" s="5" t="s">
        <v>53</v>
      </c>
      <c r="G35" s="5" t="str">
        <f>IF(Sales_DB[[#This Row],[Price ($)]]&gt;=500,"High Price", "Standard Price")</f>
        <v>Standard Price</v>
      </c>
      <c r="H35" s="5" t="str">
        <f>LEFT(Sales_DB[[#This Row],[Product ID]],2)</f>
        <v>09</v>
      </c>
      <c r="I35" s="5" t="str">
        <f>RIGHT(Sales_DB[[#This Row],[Product ID]],2)</f>
        <v>FR</v>
      </c>
      <c r="J35" s="5" t="str">
        <f>MID(Sales_DB[[#This Row],[Product ID]],4,3)</f>
        <v>JUL</v>
      </c>
      <c r="K35" s="4"/>
      <c r="L35" s="4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4E447-8F16-45D9-AF45-F242634A6411}">
  <dimension ref="A1:M47"/>
  <sheetViews>
    <sheetView topLeftCell="A13" workbookViewId="0">
      <selection activeCell="K9" sqref="K9"/>
    </sheetView>
  </sheetViews>
  <sheetFormatPr defaultColWidth="17" defaultRowHeight="15" x14ac:dyDescent="0.25"/>
  <sheetData>
    <row r="1" spans="1:13" ht="28.5" x14ac:dyDescent="0.45">
      <c r="A1" s="32" t="s">
        <v>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13"/>
      <c r="M1" s="13"/>
    </row>
    <row r="3" spans="1:13" ht="24" x14ac:dyDescent="0.4">
      <c r="A3" s="33" t="s">
        <v>98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14"/>
      <c r="M3" s="14"/>
    </row>
    <row r="5" spans="1:13" ht="15.75" x14ac:dyDescent="0.25">
      <c r="A5" s="15" t="s">
        <v>99</v>
      </c>
      <c r="B5" s="15"/>
      <c r="C5" s="15"/>
      <c r="D5" s="15"/>
      <c r="E5" s="15"/>
      <c r="F5" s="15"/>
      <c r="G5" s="15"/>
      <c r="H5" s="15"/>
    </row>
    <row r="6" spans="1:13" ht="15.75" thickBot="1" x14ac:dyDescent="0.3"/>
    <row r="7" spans="1:13" x14ac:dyDescent="0.25">
      <c r="A7" s="34" t="s">
        <v>100</v>
      </c>
      <c r="B7" s="35" t="s">
        <v>101</v>
      </c>
      <c r="C7" s="35"/>
      <c r="D7" s="35"/>
      <c r="E7" s="35"/>
      <c r="F7" s="35"/>
      <c r="G7" s="35"/>
      <c r="H7" s="35"/>
      <c r="I7" s="35"/>
      <c r="J7" s="35"/>
      <c r="K7" s="36" t="s">
        <v>102</v>
      </c>
    </row>
    <row r="8" spans="1:13" x14ac:dyDescent="0.25">
      <c r="A8" s="16">
        <v>1</v>
      </c>
      <c r="B8" s="17" t="s">
        <v>103</v>
      </c>
      <c r="C8" s="18"/>
      <c r="D8" s="18"/>
      <c r="E8" s="18"/>
      <c r="F8" s="18"/>
      <c r="G8" s="18"/>
      <c r="H8" s="18"/>
      <c r="I8" s="18"/>
      <c r="J8" s="19"/>
      <c r="K8" s="20">
        <f>SUM(Sales_DB[Price ($)])</f>
        <v>10100</v>
      </c>
    </row>
    <row r="9" spans="1:13" x14ac:dyDescent="0.25">
      <c r="A9" s="16">
        <v>2</v>
      </c>
      <c r="B9" s="17" t="s">
        <v>104</v>
      </c>
      <c r="C9" s="18"/>
      <c r="D9" s="18"/>
      <c r="E9" s="18"/>
      <c r="F9" s="18"/>
      <c r="G9" s="18"/>
      <c r="H9" s="18"/>
      <c r="I9" s="18"/>
      <c r="J9" s="19"/>
      <c r="K9" s="20">
        <f>COUNTA(Sales_DB[Product ID])</f>
        <v>34</v>
      </c>
    </row>
    <row r="10" spans="1:13" ht="15.75" thickBot="1" x14ac:dyDescent="0.3">
      <c r="A10" s="21">
        <v>3</v>
      </c>
      <c r="B10" s="22" t="s">
        <v>105</v>
      </c>
      <c r="C10" s="23"/>
      <c r="D10" s="23"/>
      <c r="E10" s="23"/>
      <c r="F10" s="23"/>
      <c r="G10" s="23"/>
      <c r="H10" s="23"/>
      <c r="I10" s="23"/>
      <c r="J10" s="24"/>
      <c r="K10" s="25">
        <f>AVERAGE(Sales_DB[Price ($)])</f>
        <v>297.05882352941177</v>
      </c>
    </row>
    <row r="12" spans="1:13" ht="24" x14ac:dyDescent="0.4">
      <c r="A12" s="33" t="s">
        <v>106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14"/>
      <c r="M12" s="14"/>
    </row>
    <row r="14" spans="1:13" ht="15.75" x14ac:dyDescent="0.25">
      <c r="A14" s="15" t="s">
        <v>107</v>
      </c>
      <c r="B14" s="15"/>
      <c r="C14" s="15"/>
      <c r="D14" s="15"/>
      <c r="E14" s="15"/>
      <c r="F14" s="15"/>
      <c r="G14" s="15"/>
      <c r="H14" s="15"/>
    </row>
    <row r="15" spans="1:13" ht="15.75" thickBot="1" x14ac:dyDescent="0.3"/>
    <row r="16" spans="1:13" x14ac:dyDescent="0.25">
      <c r="A16" s="34" t="s">
        <v>100</v>
      </c>
      <c r="B16" s="35" t="s">
        <v>101</v>
      </c>
      <c r="C16" s="35"/>
      <c r="D16" s="35"/>
      <c r="E16" s="35"/>
      <c r="F16" s="35"/>
      <c r="G16" s="35"/>
      <c r="H16" s="35"/>
      <c r="I16" s="35"/>
      <c r="J16" s="35"/>
      <c r="K16" s="36" t="s">
        <v>102</v>
      </c>
    </row>
    <row r="17" spans="1:11" x14ac:dyDescent="0.25">
      <c r="A17" s="16">
        <v>1</v>
      </c>
      <c r="B17" s="17" t="s">
        <v>108</v>
      </c>
      <c r="C17" s="18"/>
      <c r="D17" s="18"/>
      <c r="E17" s="18"/>
      <c r="F17" s="18"/>
      <c r="G17" s="18"/>
      <c r="H17" s="18"/>
      <c r="I17" s="18"/>
      <c r="J17" s="19"/>
      <c r="K17" s="20">
        <f>MIN(Sales_DB[Price ($)])</f>
        <v>30</v>
      </c>
    </row>
    <row r="18" spans="1:11" ht="15.75" thickBot="1" x14ac:dyDescent="0.3">
      <c r="A18" s="21">
        <v>2</v>
      </c>
      <c r="B18" s="22" t="s">
        <v>109</v>
      </c>
      <c r="C18" s="23"/>
      <c r="D18" s="23"/>
      <c r="E18" s="23"/>
      <c r="F18" s="23"/>
      <c r="G18" s="23"/>
      <c r="H18" s="23"/>
      <c r="I18" s="23"/>
      <c r="J18" s="24"/>
      <c r="K18" s="25">
        <f>MAX(Sales_DB[Price ($)])</f>
        <v>1000</v>
      </c>
    </row>
    <row r="20" spans="1:11" ht="24" x14ac:dyDescent="0.4">
      <c r="A20" s="33" t="s">
        <v>110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24" x14ac:dyDescent="0.4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1:11" x14ac:dyDescent="0.25">
      <c r="A22" s="37" t="s">
        <v>101</v>
      </c>
    </row>
    <row r="23" spans="1:11" x14ac:dyDescent="0.25">
      <c r="A23" s="27" t="s">
        <v>111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</row>
    <row r="24" spans="1:11" x14ac:dyDescent="0.25">
      <c r="A24" s="27" t="s">
        <v>112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</row>
    <row r="25" spans="1:11" x14ac:dyDescent="0.25">
      <c r="B25" s="27" t="s">
        <v>113</v>
      </c>
      <c r="C25" s="27"/>
      <c r="D25" s="27"/>
      <c r="E25" s="27"/>
      <c r="F25" s="27"/>
      <c r="G25" s="27"/>
      <c r="H25" s="27"/>
      <c r="I25" s="27"/>
      <c r="J25" s="27"/>
      <c r="K25" s="27"/>
    </row>
    <row r="26" spans="1:11" x14ac:dyDescent="0.25">
      <c r="B26" s="27" t="s">
        <v>114</v>
      </c>
      <c r="C26" s="27"/>
      <c r="D26" s="27"/>
      <c r="E26" s="27"/>
      <c r="F26" s="27"/>
      <c r="G26" s="27"/>
      <c r="H26" s="27"/>
      <c r="I26" s="27"/>
      <c r="J26" s="27"/>
      <c r="K26" s="27"/>
    </row>
    <row r="28" spans="1:11" x14ac:dyDescent="0.25">
      <c r="A28" s="38" t="s">
        <v>102</v>
      </c>
    </row>
    <row r="29" spans="1:11" x14ac:dyDescent="0.25">
      <c r="A29" s="39" t="s">
        <v>93</v>
      </c>
      <c r="B29" s="28" t="s">
        <v>126</v>
      </c>
    </row>
    <row r="31" spans="1:11" ht="24" x14ac:dyDescent="0.4">
      <c r="A31" s="33" t="s">
        <v>115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3" spans="1:11" ht="15.75" x14ac:dyDescent="0.25">
      <c r="A33" s="15" t="s">
        <v>116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5.75" thickBot="1" x14ac:dyDescent="0.3"/>
    <row r="35" spans="1:11" x14ac:dyDescent="0.25">
      <c r="A35" s="34" t="s">
        <v>100</v>
      </c>
      <c r="B35" s="35" t="s">
        <v>101</v>
      </c>
      <c r="C35" s="35"/>
      <c r="D35" s="35"/>
      <c r="E35" s="35"/>
      <c r="F35" s="35"/>
      <c r="G35" s="35"/>
      <c r="H35" s="35"/>
      <c r="I35" s="35"/>
      <c r="J35" s="35"/>
      <c r="K35" s="36" t="s">
        <v>102</v>
      </c>
    </row>
    <row r="36" spans="1:11" x14ac:dyDescent="0.25">
      <c r="A36" s="16">
        <v>1</v>
      </c>
      <c r="B36" s="17" t="s">
        <v>117</v>
      </c>
      <c r="C36" s="18"/>
      <c r="D36" s="18"/>
      <c r="E36" s="18"/>
      <c r="F36" s="18"/>
      <c r="G36" s="18"/>
      <c r="H36" s="18"/>
      <c r="I36" s="18"/>
      <c r="J36" s="19"/>
      <c r="K36" s="20">
        <f>SUMIF(Sales_DB[Category],"Electronics",Sales_DB[Price ($)])</f>
        <v>8050</v>
      </c>
    </row>
    <row r="37" spans="1:11" ht="15.75" thickBot="1" x14ac:dyDescent="0.3">
      <c r="A37" s="21">
        <v>2</v>
      </c>
      <c r="B37" s="22" t="s">
        <v>118</v>
      </c>
      <c r="C37" s="23"/>
      <c r="D37" s="23"/>
      <c r="E37" s="23"/>
      <c r="F37" s="23"/>
      <c r="G37" s="23"/>
      <c r="H37" s="23"/>
      <c r="I37" s="23"/>
      <c r="J37" s="24"/>
      <c r="K37" s="25">
        <f>COUNTIF(Sales_DB[Price ($)],"&lt;100")</f>
        <v>11</v>
      </c>
    </row>
    <row r="39" spans="1:11" ht="24" x14ac:dyDescent="0.4">
      <c r="A39" s="33" t="s">
        <v>119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1" spans="1:11" ht="15.75" x14ac:dyDescent="0.25">
      <c r="A41" s="15" t="s">
        <v>120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ht="15.75" x14ac:dyDescent="0.25">
      <c r="A42" s="15" t="s">
        <v>121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1:11" ht="15.75" thickBot="1" x14ac:dyDescent="0.3"/>
    <row r="44" spans="1:11" x14ac:dyDescent="0.25">
      <c r="A44" s="34" t="s">
        <v>100</v>
      </c>
      <c r="B44" s="35" t="s">
        <v>101</v>
      </c>
      <c r="C44" s="35"/>
      <c r="D44" s="35"/>
      <c r="E44" s="35"/>
      <c r="F44" s="35"/>
      <c r="G44" s="35"/>
      <c r="H44" s="35"/>
      <c r="I44" s="35"/>
      <c r="J44" s="35"/>
      <c r="K44" s="36" t="s">
        <v>102</v>
      </c>
    </row>
    <row r="45" spans="1:11" ht="25.5" customHeight="1" x14ac:dyDescent="0.25">
      <c r="A45" s="16">
        <v>1</v>
      </c>
      <c r="B45" s="17" t="s">
        <v>122</v>
      </c>
      <c r="C45" s="18"/>
      <c r="D45" s="18"/>
      <c r="E45" s="18"/>
      <c r="F45" s="18"/>
      <c r="G45" s="18"/>
      <c r="H45" s="18"/>
      <c r="I45" s="18"/>
      <c r="J45" s="19"/>
      <c r="K45" s="29" t="s">
        <v>125</v>
      </c>
    </row>
    <row r="46" spans="1:11" ht="41.25" thickBot="1" x14ac:dyDescent="0.3">
      <c r="A46" s="21">
        <v>2</v>
      </c>
      <c r="B46" s="22" t="s">
        <v>123</v>
      </c>
      <c r="C46" s="23"/>
      <c r="D46" s="23"/>
      <c r="E46" s="23"/>
      <c r="F46" s="23"/>
      <c r="G46" s="23"/>
      <c r="H46" s="23"/>
      <c r="I46" s="23"/>
      <c r="J46" s="24"/>
      <c r="K46" s="29" t="s">
        <v>125</v>
      </c>
    </row>
    <row r="47" spans="1:11" ht="41.25" thickBot="1" x14ac:dyDescent="0.3">
      <c r="A47" s="30">
        <v>3</v>
      </c>
      <c r="B47" s="31" t="s">
        <v>124</v>
      </c>
      <c r="C47" s="31"/>
      <c r="D47" s="31"/>
      <c r="E47" s="31"/>
      <c r="F47" s="31"/>
      <c r="G47" s="31"/>
      <c r="H47" s="31"/>
      <c r="I47" s="31"/>
      <c r="J47" s="31"/>
      <c r="K47" s="29" t="s">
        <v>125</v>
      </c>
    </row>
  </sheetData>
  <mergeCells count="29">
    <mergeCell ref="A42:K42"/>
    <mergeCell ref="B44:J44"/>
    <mergeCell ref="B45:J45"/>
    <mergeCell ref="B46:J46"/>
    <mergeCell ref="B47:J47"/>
    <mergeCell ref="A33:K33"/>
    <mergeCell ref="B35:J35"/>
    <mergeCell ref="B36:J36"/>
    <mergeCell ref="B37:J37"/>
    <mergeCell ref="A39:K39"/>
    <mergeCell ref="A41:K41"/>
    <mergeCell ref="A20:K20"/>
    <mergeCell ref="A23:K23"/>
    <mergeCell ref="A24:K24"/>
    <mergeCell ref="B25:K25"/>
    <mergeCell ref="B26:K26"/>
    <mergeCell ref="A31:K31"/>
    <mergeCell ref="B10:J10"/>
    <mergeCell ref="A12:K12"/>
    <mergeCell ref="A14:H14"/>
    <mergeCell ref="B16:J16"/>
    <mergeCell ref="B17:J17"/>
    <mergeCell ref="B18:J18"/>
    <mergeCell ref="A1:K1"/>
    <mergeCell ref="A3:K3"/>
    <mergeCell ref="A5:H5"/>
    <mergeCell ref="B7:J7"/>
    <mergeCell ref="B8:J8"/>
    <mergeCell ref="B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Copy_Of_Dataset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S0089553</dc:creator>
  <cp:lastModifiedBy>S0089553</cp:lastModifiedBy>
  <dcterms:created xsi:type="dcterms:W3CDTF">2026-10-29T01:56:32Z</dcterms:created>
  <dcterms:modified xsi:type="dcterms:W3CDTF">2026-10-29T04:31:42Z</dcterms:modified>
</cp:coreProperties>
</file>